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160kchile-my.sharepoint.com/personal/moises_arancibia_160k_cl/Documents/Proyecto Riesgo Modelos - BCH/Planner HU/DAILY + GESTION BI/"/>
    </mc:Choice>
  </mc:AlternateContent>
  <xr:revisionPtr revIDLastSave="3" documentId="8_{E66ACA16-5B95-4CCE-BE3D-3205D65D6AF7}" xr6:coauthVersionLast="47" xr6:coauthVersionMax="47" xr10:uidLastSave="{72ADB20E-4BF3-47EA-8BA4-945ACF86E332}"/>
  <bookViews>
    <workbookView xWindow="20370" yWindow="-120" windowWidth="29040" windowHeight="15720" tabRatio="722" xr2:uid="{00000000-000D-0000-FFFF-FFFF00000000}"/>
  </bookViews>
  <sheets>
    <sheet name="CONSOLIDADO UAT" sheetId="1" r:id="rId1"/>
    <sheet name="Carga masiva Bitacora" sheetId="14" r:id="rId2"/>
    <sheet name="CRUCE STATUS" sheetId="2" r:id="rId3"/>
    <sheet name="GARANTIA" sheetId="4" r:id="rId4"/>
    <sheet name="BLOQUEADOS" sheetId="5" r:id="rId5"/>
    <sheet name="REPORTE" sheetId="3" r:id="rId6"/>
    <sheet name="Detalle entregas" sheetId="16" r:id="rId7"/>
  </sheets>
  <definedNames>
    <definedName name="_xlnm._FilterDatabase" localSheetId="0" hidden="1">'CONSOLIDADO UAT'!$A$1:$S$913</definedName>
    <definedName name="_xlnm._FilterDatabase" localSheetId="2" hidden="1">'CRUCE STATUS'!$A$1:$N$261</definedName>
    <definedName name="_xlnm._FilterDatabase" localSheetId="3" hidden="1">GARANTIA!$A$2:$Q$54</definedName>
  </definedNames>
  <calcPr calcId="191029"/>
  <pivotCaches>
    <pivotCache cacheId="3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4" i="3" l="1"/>
  <c r="B42" i="3"/>
  <c r="F81"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<sst xmlns="http://schemas.openxmlformats.org/spreadsheetml/2006/main" count="16574" uniqueCount="3549">
  <si>
    <t>Módulo</t>
  </si>
  <si>
    <t>Hoja Origen</t>
  </si>
  <si>
    <t>Código HU</t>
  </si>
  <si>
    <t>Prioridad</t>
  </si>
  <si>
    <t>Historia de Usuario</t>
  </si>
  <si>
    <t>Vista</t>
  </si>
  <si>
    <t>Actores</t>
  </si>
  <si>
    <t>Código Caso Prueba</t>
  </si>
  <si>
    <t>Caso de Prueba (Texto)</t>
  </si>
  <si>
    <t>Caso Nuevo?</t>
  </si>
  <si>
    <t>Fecha Prueba</t>
  </si>
  <si>
    <t>Resultado</t>
  </si>
  <si>
    <t>Categoría</t>
  </si>
  <si>
    <t>Criticidad</t>
  </si>
  <si>
    <t>Detalle Incidente</t>
  </si>
  <si>
    <t>Evidencia?</t>
  </si>
  <si>
    <t>Resultado Histórico</t>
  </si>
  <si>
    <t>Fecha Entrega</t>
  </si>
  <si>
    <t>Observaciones</t>
  </si>
  <si>
    <t>Validación</t>
  </si>
  <si>
    <t>VALIDACION</t>
  </si>
  <si>
    <t>V_1</t>
  </si>
  <si>
    <t>ALTA</t>
  </si>
  <si>
    <t>Cambio de Nombre del Modulo:</t>
  </si>
  <si>
    <t>Homepage</t>
  </si>
  <si>
    <t>Todos los Usuarios del Sistema</t>
  </si>
  <si>
    <t>V_1_1</t>
  </si>
  <si>
    <t>El módulo anteriormente llamado "Registro Observación" ahora aparece como "Validación"</t>
  </si>
  <si>
    <t>No</t>
  </si>
  <si>
    <t>2026-04-29</t>
  </si>
  <si>
    <t>OK</t>
  </si>
  <si>
    <t>V_1_2</t>
  </si>
  <si>
    <t>Las funcionalidades actuales no se ven afectadas por el cambio de nombre en caso de tener dependencias</t>
  </si>
  <si>
    <t>2026-05-20</t>
  </si>
  <si>
    <t>V_1_3</t>
  </si>
  <si>
    <t>Realizar prueba conjunta Desarrollo y Negocio para confirmar control de exceciones por borrado de tabla u otra anomalía técnica que se presente</t>
  </si>
  <si>
    <t>2026-08-06</t>
  </si>
  <si>
    <t>24/07: los implementadores ejecutor y aprobador no pueden generar FEV (falta el acceso al botón)</t>
  </si>
  <si>
    <t>2026-08-04</t>
  </si>
  <si>
    <t>V_2</t>
  </si>
  <si>
    <t>Estructura de Pestañas del Modulo</t>
  </si>
  <si>
    <t>V_2_1</t>
  </si>
  <si>
    <t>Al ingresar al módulo de validación se visualizan 3 pestañas: “Informes de Validación”, “Gestión de Evidencias”, "Formularios de Excepción".</t>
  </si>
  <si>
    <t>V_2_2</t>
  </si>
  <si>
    <t>La pestaña de "Informes de Validación" presenta las opciones de creación de informes</t>
  </si>
  <si>
    <t>V_2_3</t>
  </si>
  <si>
    <t>La pestaña "Gestión de Evidencias" presenta las opciones para agregar evidencias</t>
  </si>
  <si>
    <t>V_2_4</t>
  </si>
  <si>
    <t>La pestaña "Formularios de Excepción (FEV)" presenta las opciones para generar excepciones de validación</t>
  </si>
  <si>
    <t>V_2_5</t>
  </si>
  <si>
    <t>Si al ingresar a una de las 3 pestañas, el formulario no carga, el sistema muestra un mensaje de error que la pestaña no está disponible</t>
  </si>
  <si>
    <t>2026-05-07</t>
  </si>
  <si>
    <t>N/A</t>
  </si>
  <si>
    <t>20-may (Acuerdo): Se acuerda entre Desarrollo y Negocio hacer una prueba técnica borrando una tabla para verificar comportamiento del aplicativo, ya que por la naturaleza de APEX (sistema que embebe BD y Aplicación web), no permite desconectar la base para probar este caso que estaba en el Análisis  y Diseño.</t>
  </si>
  <si>
    <t>7-may (BLOQUEADO PARA EJECUTAR)</t>
  </si>
  <si>
    <t>V_2_6</t>
  </si>
  <si>
    <t>Si el usuario está trabajando en una pestaña y cambia a otra, el sistema pregunta si desea guardar los cambios antes</t>
  </si>
  <si>
    <t>No se puede ejecutar: Al estar trabajando en una pantalla, se levanta un modal que no permite cambiarse de pantalla, por lo que obliga a grabar o cancelar los cambios</t>
  </si>
  <si>
    <t>V_3</t>
  </si>
  <si>
    <t>BAJA</t>
  </si>
  <si>
    <t>Notificación por Días en Validación</t>
  </si>
  <si>
    <t>Validación / Observaciones</t>
  </si>
  <si>
    <t>Sistema (Automático)</t>
  </si>
  <si>
    <t>V_3_1</t>
  </si>
  <si>
    <t>El sistema diariamente detecta si hay observaciones que hayan superado los 59 y 89 días, y envía un mail con el listado de observaciones a validadores y supervisores correspondientes</t>
  </si>
  <si>
    <t>2026-05-12</t>
  </si>
  <si>
    <t>BLOQUEADO PARA EJECUTAR</t>
  </si>
  <si>
    <t>BLOQ</t>
  </si>
  <si>
    <t>A la espera de envío de correos</t>
  </si>
  <si>
    <t>V_3_2</t>
  </si>
  <si>
    <t>El contenido del mail incluye:</t>
  </si>
  <si>
    <t>V_3_3</t>
  </si>
  <si>
    <t>Si el sistema no detecta observaciones que hayan superado los 59 y 89 días, no se envían mail</t>
  </si>
  <si>
    <t>V_3_4</t>
  </si>
  <si>
    <t>El sistema registra el envío exitoso de las notificaciones.</t>
  </si>
  <si>
    <t>V_3_5</t>
  </si>
  <si>
    <t>Si el servicio de correo no está disponible, el sistema registra el error en los logs del sistema y reintenta el envío. En caso que este último falle, se notifica al administrador del sistema</t>
  </si>
  <si>
    <t>V_4</t>
  </si>
  <si>
    <t>MEDIA</t>
  </si>
  <si>
    <t>Agregar Columna Modelo</t>
  </si>
  <si>
    <t>Validación / Informes</t>
  </si>
  <si>
    <t>V_4_1</t>
  </si>
  <si>
    <t>Dentro de la pestaña "Informes Validación", se muestra la columna Modelo, compuesta por el ID Modelo, ID Version y Nombre del modelo que están asignados en el informe de validación</t>
  </si>
  <si>
    <t>V_4_2</t>
  </si>
  <si>
    <t>El usuario puede ordenar y filtrar por la columna Modelo si lo requiere</t>
  </si>
  <si>
    <t>V_4_3</t>
  </si>
  <si>
    <t>Si existe un informe de validación sin un modelo asignado, se debe mostrar el campo "Sin asignar"</t>
  </si>
  <si>
    <t>2026-05-18</t>
  </si>
  <si>
    <t>18-may: Continúa apareciendo vacío</t>
  </si>
  <si>
    <t>13-may (NOK - BAJA)</t>
  </si>
  <si>
    <t>V_4_4</t>
  </si>
  <si>
    <t>Si ocurre un error en la carga del nombre del modelo, se muestra mensaje de error y reporta al administrador del sistema</t>
  </si>
  <si>
    <t>V_5</t>
  </si>
  <si>
    <t>Agregar Columna Tipo de Enfoque</t>
  </si>
  <si>
    <t>V_5_1</t>
  </si>
  <si>
    <t>Dentro de la pestaña "Informes Validación", se muestra la columna “Tipo de Enfoque” con las siguientes opciones: Exhaustivo, Estándar, Ágil o Competitivo</t>
  </si>
  <si>
    <t>2026-05-06</t>
  </si>
  <si>
    <t>V_5_2</t>
  </si>
  <si>
    <t>El usuario puede ordenar y filtrar por la columna "Tipo Enfoque" si lo requiere</t>
  </si>
  <si>
    <t>V_5_3</t>
  </si>
  <si>
    <t>Si existe un informe de validación sin un "Tipo Enfoque" definido, se debe mostrar el campo "Por definir"</t>
  </si>
  <si>
    <t>V_5_4</t>
  </si>
  <si>
    <t>Si ocurre un error en la carga del "Tipo Enfoque", se muestra mensaje de error y reportarlo al administrador del sistema</t>
  </si>
  <si>
    <t>6-may (BLOQUEADO PARA EJECUTAR)</t>
  </si>
  <si>
    <t>V_6</t>
  </si>
  <si>
    <t>Crear Campo Tipo de Enfoque con Lista</t>
  </si>
  <si>
    <t>V_6_1</t>
  </si>
  <si>
    <t>Dentro de la pestaña "Informes Validación", la columna "Tipo Enfoque" carga las sugerencias en base al cálculo que se configura en el mantenedor</t>
  </si>
  <si>
    <t>V_6_2</t>
  </si>
  <si>
    <t>El usuario puede modificar el "Tipo Enfoque" según las opciones sugeridas</t>
  </si>
  <si>
    <t>V_6_3</t>
  </si>
  <si>
    <t>Si el "Tipo Enfoque" no arroja sugerencias, debe precargar todas las opciones del mantenedor</t>
  </si>
  <si>
    <t>V_7</t>
  </si>
  <si>
    <t>Crear Mantenedor Arbol de Decision Tipo de Enfoque</t>
  </si>
  <si>
    <t>Validación / Informes / Mantenedor</t>
  </si>
  <si>
    <t>GRM_ADMINISTRADOR</t>
  </si>
  <si>
    <t>V_7_1</t>
  </si>
  <si>
    <t>El mantenedor "Árbol de Decisión Tipo de Enfoque" se encuentra disponible para el administrador y permite agregar y modificar sus registros por medio de consultas SQL</t>
  </si>
  <si>
    <t>2026-07-10</t>
  </si>
  <si>
    <t>28/05: En la reprueba realizada, el tipo de enfoque se cambia al tener resueltas en validación, quedan en blanco o como "Agil"</t>
  </si>
  <si>
    <t>2026-07-01</t>
  </si>
  <si>
    <t>Es necessario probar de nuevo debido a los cambios realizados en el registro de modelos asociados al informe, cuando se agregan nuevas observaciones es necesario presionar el boton asignar para que el tipo de enfoque quede asociado de manera correcta</t>
  </si>
  <si>
    <t>V_7_2</t>
  </si>
  <si>
    <t>Si el administrador realiza cambios en la estructura jerárquica, el sistema solicita confirmación para guardar los cambios</t>
  </si>
  <si>
    <t>2026-07-24</t>
  </si>
  <si>
    <t>Revisado con Desarrollo 15-may:</t>
  </si>
  <si>
    <t>Si</t>
  </si>
  <si>
    <t>V_7_3</t>
  </si>
  <si>
    <t>Si el administrador intenta guardar una estructura jerárquica inválida, el sistema muestra un mensaje de error indicando el problema encontrado.</t>
  </si>
  <si>
    <t>Al intentar guardar sale mensaje de error "La query no debe contener parámetros bind", aun cuando no se modificó el SQL</t>
  </si>
  <si>
    <t>13-may (NOK - ALTA)</t>
  </si>
  <si>
    <t>V_8</t>
  </si>
  <si>
    <t>Crear Mantenedor para la Lista Tipo de Enfoque</t>
  </si>
  <si>
    <t>V_8_1</t>
  </si>
  <si>
    <t>Al seleccionar el mantenedor "Lista Tipo de Enfoque", el sistema muestra la lista de opciones disponibles</t>
  </si>
  <si>
    <t>V_8_2</t>
  </si>
  <si>
    <t>El Administrador puede agregar, modificar o eliminar opciones de la lista</t>
  </si>
  <si>
    <t>V_8_3</t>
  </si>
  <si>
    <t>Si el Administrador intenta agregar un valor que ya existe en la lista, el sistema muestra en mensaje de error indicando que el valor ya existe.</t>
  </si>
  <si>
    <t>V_9</t>
  </si>
  <si>
    <t>Agregar Campo Origen</t>
  </si>
  <si>
    <t>GRM_VALIDADOR_EJECUTOR, GRM_VALIDADOR_APROBADOR, GRM_REVISOR y GRM_ADMINISTRADOR</t>
  </si>
  <si>
    <t>V_9_1</t>
  </si>
  <si>
    <t>Dentro de la pestaña "Informes Validación", se visualiza el nuevo campo "Origen" con las opciones Desarrollo, Implementación y En Uso</t>
  </si>
  <si>
    <t>V_9_2</t>
  </si>
  <si>
    <t>El campo es obligatorio y se levanta una alerta si el usuario no selecciona una opción: "Seleccione el origen del informe"</t>
  </si>
  <si>
    <t>12/05: El informe para poder grabar me obliga a completar los campos Origen, Tipo Validación, Objetivo Validación, Conclusión</t>
  </si>
  <si>
    <t>6-may (OK CON OBS. - AP)</t>
  </si>
  <si>
    <t>V_10</t>
  </si>
  <si>
    <t>Expandir Opciones de Objetivo</t>
  </si>
  <si>
    <t>V_10_1</t>
  </si>
  <si>
    <t>Dentro de la pestaña "Informes Validación", se visualiza el campo "Objetivo de la Validación", con las opciones originales: “Nuevo modelo” y “Modificación modelo existente”, y se le agregan tres opciones más: “Seguimiento”, “Integración en la Gestión” y “Continua”.</t>
  </si>
  <si>
    <t>2026-05-28</t>
  </si>
  <si>
    <t>18/05: Validación Continua aparece 2 veces</t>
  </si>
  <si>
    <t>Probar nuevamente se ejecutaron scripts con las nuevas opciones</t>
  </si>
  <si>
    <t>V_10_2</t>
  </si>
  <si>
    <t>El campo es obligatorio y se levanta una alerta si el usuario no selecciona una opción: "Debe seleccionar un objetivo"</t>
  </si>
  <si>
    <t>2026-05-08</t>
  </si>
  <si>
    <t>V_11</t>
  </si>
  <si>
    <t>Validacion de Combinaciones Origen-Objetivo</t>
  </si>
  <si>
    <t>V_11_1</t>
  </si>
  <si>
    <t>Caso de prueba desestimado</t>
  </si>
  <si>
    <t>V_12</t>
  </si>
  <si>
    <t>Regla de Validacion Origen-Objetivo</t>
  </si>
  <si>
    <t>V_12_1</t>
  </si>
  <si>
    <t>V_13</t>
  </si>
  <si>
    <t>Asignación de Multiples Modelos</t>
  </si>
  <si>
    <t>V_13_1</t>
  </si>
  <si>
    <t>Al acceder a editar un informe, el sistema da la opción de asignar múltiples modelos "Activos" (no caducados), independiente de su estado de observaciones</t>
  </si>
  <si>
    <t>2026-05-11</t>
  </si>
  <si>
    <t>V_13_2</t>
  </si>
  <si>
    <t>Todos los modelos seleccionados se listan en un solo campo, separados por coma</t>
  </si>
  <si>
    <t>V_13_3</t>
  </si>
  <si>
    <t>Al asignar un modelo de forma correcta, el sistema muestra una alerta "Modelo asignado correctamente"</t>
  </si>
  <si>
    <t>2026-08-11</t>
  </si>
  <si>
    <t>18/05: Faltan los campos Descripción Inicial, Descripción Final y el campo Usos Validados</t>
  </si>
  <si>
    <t>11-may (OK CON OBS. - AP)</t>
  </si>
  <si>
    <t>2026-07-28</t>
  </si>
  <si>
    <t>Esto esta asociado al 47-1</t>
  </si>
  <si>
    <t>V_13_4</t>
  </si>
  <si>
    <t>Si se agrega un modelo que ya está asigando al informe, el sistema muestra una alerta "Modelo ya asignado al informe"</t>
  </si>
  <si>
    <t>OK CON OBS.</t>
  </si>
  <si>
    <t>OBS</t>
  </si>
  <si>
    <t>Observaciones:</t>
  </si>
  <si>
    <t>V_13_5</t>
  </si>
  <si>
    <t>El campo es obligatorio y se levanta una alerta si el usuario no agrega un modelo</t>
  </si>
  <si>
    <t>NOK</t>
  </si>
  <si>
    <t>NOOK</t>
  </si>
  <si>
    <t>V_14</t>
  </si>
  <si>
    <t>Indicador de Sugerencia de Tipo de Enfoque</t>
  </si>
  <si>
    <t>GRM_VALIDADOR_EJECUTOR y GRM_VALIDADOR_APROBADOR</t>
  </si>
  <si>
    <t>V_14_1</t>
  </si>
  <si>
    <t>Dentro de la pestaña "Informes Validación", si el campo "Tipo de Enfoque" tiene un valor precargado, se visualiza un ícono informativo que permite ver el motivo del valor por medio de un tooltip o popup</t>
  </si>
  <si>
    <t>V_14_2</t>
  </si>
  <si>
    <t>Si no exite valor precargado, el icono informativo indica que no hay información disponible</t>
  </si>
  <si>
    <t>V_15</t>
  </si>
  <si>
    <t>Campo Nota Inicial</t>
  </si>
  <si>
    <t>V_15_1</t>
  </si>
  <si>
    <t>Dentro de la pestaña "Informes Validación", se visualiza el campo "Nota Inicial"  (anteriormente llamado Nota Informe), que se calcula automáticamente por medio de la suma de las notas iniciales registradas en las observaciones/ámbitos asociados, con rango y formato 1 a 5</t>
  </si>
  <si>
    <t>V_15_2</t>
  </si>
  <si>
    <t>El usuario puede acceder al detalle del informe y visualizar la composición del cálculo. Las observaciones sin nota inicial definida se interpretan como 1 o excluidas del cálculo</t>
  </si>
  <si>
    <t>Dónde se revisa la composición del cálculo?</t>
  </si>
  <si>
    <t>V_15_3</t>
  </si>
  <si>
    <t>Al modificar la formula en mantenedor (HU V_17), el sistema recalcula la "Nota Inicial" de los informes, mostrando el valor actualizado en la vista de Informes</t>
  </si>
  <si>
    <t>V_15_4</t>
  </si>
  <si>
    <t>Si no existe formula de calculo definida en el mantenedor al querer ver el cálculo de Nota Inicial, el sistema muestra un indicador de configuración pendiente.</t>
  </si>
  <si>
    <t>V_16</t>
  </si>
  <si>
    <t>Campo Nota Final</t>
  </si>
  <si>
    <t>V_16_1</t>
  </si>
  <si>
    <t>Dentro de la pestaña "Informes Validación", se visualiza el campo "Nota Final"  (anteriormente llamado Nota Informe), que se calcula automáticamente por medio de la suma de las notas finales registradas en las observaciones/ámbitos asociados, con rango y formato 1 a 5</t>
  </si>
  <si>
    <t>V_16_2</t>
  </si>
  <si>
    <t>V_16_3</t>
  </si>
  <si>
    <t>Al modificar la formula en mantenedor (HU V_17), el sistema recalcula la "Nota Final" de los informes, mostrando el valor actualizado en la vista de Informes</t>
  </si>
  <si>
    <t>13/05: Falta agregar a la formula, que si no se encuentran observaciones del ambito respectivo, la nota para ese mismo ambito es 1</t>
  </si>
  <si>
    <t>Corregido / probar nuevamente</t>
  </si>
  <si>
    <t>V_16_4</t>
  </si>
  <si>
    <t>Si no existe formula de calculo definida en el mantenedor al querer ver el cálculo de nota final, el sistema muestra un indicador de configuración pendiente.</t>
  </si>
  <si>
    <t>V_17</t>
  </si>
  <si>
    <t>Mantenedor de Formula de Nota Final</t>
  </si>
  <si>
    <t>V_17_1</t>
  </si>
  <si>
    <t>Al seleccionar el mantenedor "Fórmula de Nota Inicial y Final", el sistema muestra la configuración de la fórmula de cálculo</t>
  </si>
  <si>
    <t>V_17_2</t>
  </si>
  <si>
    <t>El Administrador puede agregar, modificar o eliminar la fórmula de cálculo</t>
  </si>
  <si>
    <t>V_17_3</t>
  </si>
  <si>
    <t>Si la fórmula que se intenta guardar tiene una sintáxis inválida, el sistema muestra un mensaje de error indicando el problema de sintaxis.</t>
  </si>
  <si>
    <t>V_18</t>
  </si>
  <si>
    <t>Contadores de Nota Final y Cantidad</t>
  </si>
  <si>
    <t>V_18_1</t>
  </si>
  <si>
    <t>Dentro de la pestaña "Observaciones" se visualizan el contador "Cantidad de Observaciones". Estos contadores se actualizan según las observaciones visibles.</t>
  </si>
  <si>
    <t>Falta el contador de observaciones  -  Por roles implementador ejec/aprob y des aprob</t>
  </si>
  <si>
    <t>V_18_2</t>
  </si>
  <si>
    <t>Si no existen observaciones en la vista actual, el sistema muestra los contadores en cero.</t>
  </si>
  <si>
    <t>V_19</t>
  </si>
  <si>
    <t>Aprobación Automatica de Informe</t>
  </si>
  <si>
    <t>V_19_1</t>
  </si>
  <si>
    <t>Por medio de un proceso automático, si un informe tiene todas las observaciones en estado "Resuelta en Validación", el sistema cambia el estado del informe a  "Aprobado"</t>
  </si>
  <si>
    <t>24/07: El Problema persiste, los informes no se autoaprueban al agregar observaciones resueltas en validacion</t>
  </si>
  <si>
    <t>Revisar con Sergio en el V_19 se solicita explicitamente en el tobe que el informe sea aprobado automaticamente cuando todas las observaciones estan resueltas en validacion</t>
  </si>
  <si>
    <t>V_19_2</t>
  </si>
  <si>
    <t>Si existe al menos una observación que no esté en estado "Resuelta en Validación", el sistema no cambia el estado del informe.</t>
  </si>
  <si>
    <t>Revisar con Sergio esto sucede porque lo explicado en el caso anterior.</t>
  </si>
  <si>
    <t>V_19_3</t>
  </si>
  <si>
    <t>Si la "Aprobación" fue realizada automáticamente, en la cabecera del informe de validación se muestra la alerta: "[INFO]: Informe aprobado automáticamente".</t>
  </si>
  <si>
    <t>13/05: El formulario no se puede grabar, sale un mensaje de error; y no se puede enviar a la contraparte, sale un mensaje de ingresar observaciones</t>
  </si>
  <si>
    <t>Revisar con Sergio</t>
  </si>
  <si>
    <t>V_19_4</t>
  </si>
  <si>
    <t>El sistema registra el cambio de estado en el historial.</t>
  </si>
  <si>
    <t>V_20</t>
  </si>
  <si>
    <t>Asignación de Observación a Múltiples Modelos</t>
  </si>
  <si>
    <t>V_20_1</t>
  </si>
  <si>
    <t>Al acceder a la sección de asignación de modelos, botón "Agregar Múltiples", se debe mostrar una lista de modelos disponibles.</t>
  </si>
  <si>
    <t>2026-05-13</t>
  </si>
  <si>
    <t>V_20_2</t>
  </si>
  <si>
    <t>El usuario puede seleccionar múltiples modelos para asociar a la observación.</t>
  </si>
  <si>
    <t>V_20_3</t>
  </si>
  <si>
    <t>El sistema  guarda las asociaciones de modelos para la observación y muestra la observación asociada a todos los modelos seleccionados.</t>
  </si>
  <si>
    <t>2026-07-27</t>
  </si>
  <si>
    <t>Revisar con Sergio y Miguel</t>
  </si>
  <si>
    <t>V_20_4</t>
  </si>
  <si>
    <t>Si se intenta agregar un modelo que ya fue asociado a una observación, el sistema muestra un mensaje indicando que el modelo ya está asociado.</t>
  </si>
  <si>
    <t>2026-05-19</t>
  </si>
  <si>
    <t>V_21</t>
  </si>
  <si>
    <t>Campos Nota Inicial y Nota Final</t>
  </si>
  <si>
    <t>GRM_VALIDADOR_EJECUTOR y GRM_VALIDADOR_APROBADOR, GRM_REVISOR y GRM_ADMINISTRADOR</t>
  </si>
  <si>
    <t>V_21_1</t>
  </si>
  <si>
    <t>Al navegar hasta la edición de una observación, el sistema muestra los campos de la observación incluyendo "Gravedad Inicial" y "Gravedad Final".</t>
  </si>
  <si>
    <t>V_21_2</t>
  </si>
  <si>
    <t>El usuario puede ver y editar los valores de ambos campos según sus permisos. Ambos campos deben ser editables y de tipo Decimal.</t>
  </si>
  <si>
    <t>No aparece quién puede modificar</t>
  </si>
  <si>
    <t>V_21_3</t>
  </si>
  <si>
    <t>El sistema  guarda corretamente los cambios realizados en ambos campos mostrando un mensaje de Éxito.</t>
  </si>
  <si>
    <t>V_21_4</t>
  </si>
  <si>
    <t>Si el usuario intenta modificar manualmente el campo Nota, el sistema verifica si el cálculo automático está habilitado y permite o restringe la edición según la configuración.</t>
  </si>
  <si>
    <t>13/05: El formulario no se puede grabar, sale un mensaje de error</t>
  </si>
  <si>
    <t>V_22</t>
  </si>
  <si>
    <t>Campo “Categoria/Prueba</t>
  </si>
  <si>
    <t>V_22_1</t>
  </si>
  <si>
    <t>Al navegar hasta la edición de una observación, el sistema muestra el campo “Categoria/Prueba” con una lista desplegable. Campo Obligatorio.</t>
  </si>
  <si>
    <t>V_22_2</t>
  </si>
  <si>
    <t>El usuario puede seleccionar un valor de la lista de categorías definidas en el mantenedor y el sistema guarda correctamente la categoría seleccionada para la observación.</t>
  </si>
  <si>
    <t>V_22_3</t>
  </si>
  <si>
    <t>Si no existen categorías configuradas en el mantenedor, el sistema debe mostrar un mensaje indicando que no hay categorías disponibles.</t>
  </si>
  <si>
    <t>V_23</t>
  </si>
  <si>
    <t>Crear Mantenedor de Categoria</t>
  </si>
  <si>
    <t>V_23_1</t>
  </si>
  <si>
    <t>El administrador en la sección de Mantenedores del sistema, al seleccionar el mantenedor «Categoría», el sistema debe mostrar la lista de categorías disponibles, y se debe poder agregar, modificar o eliminar categorías</t>
  </si>
  <si>
    <t>V_23_2</t>
  </si>
  <si>
    <t>El sistema  guarda los cambios realizados y muestra un mensaje de exito.</t>
  </si>
  <si>
    <t>V_23_3</t>
  </si>
  <si>
    <t>Si el administrador intenta eliminar una categoría y esta está siendo utilizada en observaciones, el sistema muestra un mensaje indicando que la categoría está en uso.</t>
  </si>
  <si>
    <t>V_24</t>
  </si>
  <si>
    <t>Campos Descripcion Inicial y Final</t>
  </si>
  <si>
    <t>GRM_VALIDADOR_EJECUTOR y GRM_VALIDADOR_APROBADOR , GRM_REVISOR y GRM_ADMINISTRADOR</t>
  </si>
  <si>
    <t>V_24_1</t>
  </si>
  <si>
    <t>En la edición de una observación, el sistema muestra los campos «Descripción Inicial» y «Descripción Final» con editor de texto enriquecido.</t>
  </si>
  <si>
    <t>V_24_2</t>
  </si>
  <si>
    <t>El usuario debe poder redactar usando opciones de formato. (negritas, subrayado, tabulaciones, etc.)</t>
  </si>
  <si>
    <t>V_24_3</t>
  </si>
  <si>
    <t>Tras escribir el Descripción Final, el sistema guarda ambas descripciones con formato enriquecido, mostrando mensaje de exito.</t>
  </si>
  <si>
    <t>V_24_4</t>
  </si>
  <si>
    <t>Si se intenta pegar contenido con formato no permitido, el sistema muestra un mensaje indicando el formato no soportado.</t>
  </si>
  <si>
    <t>V_25</t>
  </si>
  <si>
    <t>Eliminar Campo Grupo Capital</t>
  </si>
  <si>
    <t>V_25_1</t>
  </si>
  <si>
    <t>[Prueba de verificación] El administrador ejecuta el proceso de eliminación del campo Grupo Capital y el sistema actualiza las vistas y querys afectadas. Este verifica que no existan referencias pendientes al campo.</t>
  </si>
  <si>
    <t>En la base persiste el histórico del campo pero en APEX no se visualiza</t>
  </si>
  <si>
    <t>V_25_2</t>
  </si>
  <si>
    <t>[Prueba de verificación] Si el sistema verifica que si existen datos históricos asociados al campo, el sistema archiva los datos antes de eliminar el campo.</t>
  </si>
  <si>
    <t>No se puede confirmar por no tener acceso a la base de datos. Requiere evidencias para aprobar el caso de prueba</t>
  </si>
  <si>
    <t>V_25_3</t>
  </si>
  <si>
    <t>Como postcondición, el campo Grupo Capital ya no aparecce en la interfaz de observaciones.</t>
  </si>
  <si>
    <t>V_26</t>
  </si>
  <si>
    <t>Desbloqueo del Campo Nota (corregido en refinamientos como gravedad inicial y gravedad final)</t>
  </si>
  <si>
    <t>V_26_1</t>
  </si>
  <si>
    <t>El usuario al navegar hasta una observación en estado «Resuelta en Validación», debe poder visualizar los nuevos campos Gravedad Inicial y Gravedad Final (Antes mostrados como campo Nota).</t>
  </si>
  <si>
    <t>V_26_2</t>
  </si>
  <si>
    <t>Debe estar bloqueada la funcionalidad que antes bloqueaba la nota cuando estaba es Resuelta en Validación, ahora estos campos deben estar disponibles siempre. Es decir, los campos Gravedad Inicial y Gravedad Final deben poder editarse en todo momento, independiente del estado.</t>
  </si>
  <si>
    <t>V_26_3</t>
  </si>
  <si>
    <t>El sistema  guarda los cambios realizados y actualiza el historial de modificaciones de la nota.</t>
  </si>
  <si>
    <t>V_26_4</t>
  </si>
  <si>
    <t>El campo Gravedad Inicial es de tipo Obligatorio, de tipo Numero y longitud 5 digitos, 2 decimales.</t>
  </si>
  <si>
    <t>Gravedad Inicial no debe ser obligatorio</t>
  </si>
  <si>
    <t>V_26_5</t>
  </si>
  <si>
    <t>Si el usuario intenta guardar un valor de nota fuera del rango permitido, el sistema muestra un mensaje de validación indicando el rango válido.</t>
  </si>
  <si>
    <t>V_27</t>
  </si>
  <si>
    <t>Selección de FEV en Observación Excepcionada</t>
  </si>
  <si>
    <t>GRM_VALIDADOR_EJECUTOR, GRM_REVISOR, GRM_ADMINISTRADOR y GRM_VALIDADOR_APROBADOR</t>
  </si>
  <si>
    <t>V_27_1</t>
  </si>
  <si>
    <t>El usuario al navegar hasta una observación, si el estado es «Excepcionada», el sistema muestra el campo de selección de FEV. El usuario debe poder seleccionar un FEV de la lista de Formularios de Excepción creados.</t>
  </si>
  <si>
    <t>V_27_2</t>
  </si>
  <si>
    <t>El sistema  guarda la asociación entre la observación y el FEV seleccionado.</t>
  </si>
  <si>
    <t>V_27_3</t>
  </si>
  <si>
    <t>Si el estado de la observación no es Excepcionada, el campo se muestra desactivado. En caso de pinchar en este campo, se muestra un mensaje de alerta: "Campo no disponible para este estado"</t>
  </si>
  <si>
    <t>V_27_4</t>
  </si>
  <si>
    <t>Si no existen FEV creados en el sistema, se muestra un mensaje indicando que no hay FEV disponibles.</t>
  </si>
  <si>
    <t>V_27_5</t>
  </si>
  <si>
    <t>Si el usuario selecciona un FEV que no corresponde a la observación, el sistema muestra un mensaje de Validación indicando que FEV no corresponde.</t>
  </si>
  <si>
    <t>V_28</t>
  </si>
  <si>
    <t>Campo Usos Validados</t>
  </si>
  <si>
    <t>V_28_1</t>
  </si>
  <si>
    <t>El usuario al navegar hasta la edición de una observación, debe poder visualizar el campo «Usos Validados» con lista de selección múltiple. Este campo debe estar disponible todo el tiempo, independiente de el campo Objetivo de la Validación.</t>
  </si>
  <si>
    <t>V_28_2</t>
  </si>
  <si>
    <t>Al ingresar a la vista, debe venir este campo con valor por defecto en blanco, pero debe aparecer la opcion "No Aplica" (Ambito, principio, categoria/prueba)</t>
  </si>
  <si>
    <t>2026-06-18</t>
  </si>
  <si>
    <t>Compromiso 14-may:</t>
  </si>
  <si>
    <t>V_28_3</t>
  </si>
  <si>
    <t>Se puede seleccionar uno o más Usos Validados.</t>
  </si>
  <si>
    <t>V_28_4</t>
  </si>
  <si>
    <t>El sistema  guarda la selección de usos validados.</t>
  </si>
  <si>
    <t>V_29</t>
  </si>
  <si>
    <t>Restriccion de Envio a Revision por Rol</t>
  </si>
  <si>
    <t>GRM_VALIDADOR_APROBADOR, GRM_DESA_APROBADOR, GRM_IMPLEM_APROBADOR, GRM_REVISOR y GRM_ADMINISTRADOR</t>
  </si>
  <si>
    <t>V_29_1</t>
  </si>
  <si>
    <t>En la vista VALIDACIÓN / OBSERVACIONES, al intentar envíar a revisión, sólo el rol de Validador Aprobador puede hacerlo, siempre y cuando la observación está lista para envío a revisión. Si se cumple esta condición, el sistema procesa el envío a revisión y muestra una alerta: "[EXITO]: Observación enviada a revisión".</t>
  </si>
  <si>
    <t>Sólo el aprobador ve la opción de enviar a revisión pero el sistema no permite por existir "Observaciones requeridas" que están excepcionadas y resueltas en validación</t>
  </si>
  <si>
    <t>V_29_2</t>
  </si>
  <si>
    <t>Si no se tiene el rol correspondiente, no se envía, el botón de envío a revisión permanece deshabilitado y se muestra alerta: "[PERMISOS]: No tiene permisos para enviar a revisión".</t>
  </si>
  <si>
    <t>V_30</t>
  </si>
  <si>
    <t>Edicion de Campos por Administrador en Observaciones Cerradas</t>
  </si>
  <si>
    <t>Validación / Observaciones / Administrador</t>
  </si>
  <si>
    <t>V_30_1</t>
  </si>
  <si>
    <t>En la vista VALIDACIÓN / OBSERVACIONES/ ADMINISTRADOR, el administrador debe poder editar los campos de una observación, aunque esta se encuentre en estado «Cerrada». El sistema guarda los cambios y muestra una confirmación con los cambios realizados con una alerta: [WARNING]: Editando observación cerrada - Los cambios quedan registrados.</t>
  </si>
  <si>
    <t>El Administrador se puede saltar la regla de la fecha de compromiso?, dado que sale un mensaje al apretar guardar</t>
  </si>
  <si>
    <t>V_30_2</t>
  </si>
  <si>
    <t>Si se intenta modificar un campo protegido, se muestra un mensaje indicando que el campo no puede ser modificado.</t>
  </si>
  <si>
    <t>Se podría saltar la regla de actualización de fecha de compromiso?</t>
  </si>
  <si>
    <t>V_31</t>
  </si>
  <si>
    <t>asignación de Archivos a Observaciones</t>
  </si>
  <si>
    <t>Validación / Evidencias</t>
  </si>
  <si>
    <t>GRM_VALIDADOR_EJECUTOR, GRM_VALIDADOR_APROBADOR, GRM_DESA_EJECUTOR, GRM_DESA_APROBADOR, GRM_IMPLEM_EJECUTOR, GRM_IMPLEM_APROBADOR, GRM_REVISOR y GRM_ADMINISTRADOR</t>
  </si>
  <si>
    <t>V_31_1</t>
  </si>
  <si>
    <t>Al ingresar a la gestión de evidencias y ver el panel con archivos y observaciones, el usuario debe poder seleccionar uno o más archivos para poder asignarlo a una o más Observaciones.</t>
  </si>
  <si>
    <t>POSTERGADA</t>
  </si>
  <si>
    <t>POST</t>
  </si>
  <si>
    <t>Pasan al módulo de Documentación</t>
  </si>
  <si>
    <t>V_31_2</t>
  </si>
  <si>
    <t>En la interfaz de asignación de archivos, se puede visualizar en donde se incorporarán los archivos que sean seleccionados  a las distintas Observaciones Seleccionadas dentro del mismo formulario y se debe poder agregar Descripcion.</t>
  </si>
  <si>
    <t>V_31_3</t>
  </si>
  <si>
    <t>Luego de seleccionar los archivos asignados a las observaciones, el sistema muestra un resumen de los vínculos a crear e informa posibes duplicados.</t>
  </si>
  <si>
    <t>V_31_4</t>
  </si>
  <si>
    <t>Al confirmar la acción haciendo clic en «Asignar archivos», el sistema valida y muestra un mensaje con el resultado, actualizando la vista :[EXITO]: Archivo asignado correctamente</t>
  </si>
  <si>
    <t>V_31_5</t>
  </si>
  <si>
    <t>Se dejará la funcion actual de Editar en forma independiente para cada uno de los archivos de las observaciones respectivas.</t>
  </si>
  <si>
    <t>V_31_6</t>
  </si>
  <si>
    <t>Si el usuario intenta asignar un archivo que ya está asociado a una observación, el sistema detecta la asiganción existente y pregunta si se desea mover el archivo a la nueva observación o mantener la asignación actual. El usuario debe poder elegir entre sobreescribir o mantener.</t>
  </si>
  <si>
    <t>V_32</t>
  </si>
  <si>
    <t>Visualizacion de Documentos Asociados</t>
  </si>
  <si>
    <t>GRM_VALIDADOR_EJECUTOR, GRM_VALIDADOR_APROBADOR</t>
  </si>
  <si>
    <t>V_32_1</t>
  </si>
  <si>
    <t>Al navegar hasta una observación específica, desde la misma ventana de la observación se podrán ver los documentos asociados a la observación, con sus nombres, tipos y fechas.</t>
  </si>
  <si>
    <t>V_32_2</t>
  </si>
  <si>
    <t>El usuario debe poder hacer clic para descargar un archivo, se muestra un mensaje de "[EXITO]: Documento descargado correctamente". O de error, si corresponde el caso: "[ERROR]: El documento no se encuentra disponible para descarga". Debe mostrar también tipo de Error (500, 401, 403, 404, 503, TIMEOUT (30 segundos))</t>
  </si>
  <si>
    <t>V_32_3</t>
  </si>
  <si>
    <t>Si la lista de Documentos se encuentra vacía, se muestra un mensaje: “No hay documentos asociados a esta observación”. El usuario debe poder agregar documentos si tiene los permisos correspondientes.</t>
  </si>
  <si>
    <t>V_33</t>
  </si>
  <si>
    <t>Visualizacion de Observaciones Excepcionadas en FEV</t>
  </si>
  <si>
    <t>Validación / FEV</t>
  </si>
  <si>
    <t>V_33_1</t>
  </si>
  <si>
    <t>En la sección de FEV dentro del módulo de Validación, al seleccionar un FEV en la lista, el sistema muestra el Formulario FEV con sus pestañas. Al hacer clic en la pestaña «Sección I» el sistema muestra la lista de observaciones que fueron excepcionadas en el informe de validación y estan asiganadas a este ID FEV, en donde se pueden ver los detalles de cada observación listada.</t>
  </si>
  <si>
    <t>V_33_2</t>
  </si>
  <si>
    <t>Si al acceder a la sección del FEV y no hay excepciones asociadas, el sistema debe mostrar un mensaje: “No hay observaciones excepcionadas asociadas a este FEV”</t>
  </si>
  <si>
    <t>V_33_3</t>
  </si>
  <si>
    <t>Si ocurre un error al consultar las observaciones en la base de datos, el sistema muestra un mensaje de error.</t>
  </si>
  <si>
    <t>12-may (BLOQUEADO PARA EJECUTAR)</t>
  </si>
  <si>
    <t>V_34</t>
  </si>
  <si>
    <t>Descarga de Formulario FEV</t>
  </si>
  <si>
    <t>GRM_REVISOR y GRM_ADMINISTRADOR</t>
  </si>
  <si>
    <t>V_34_1</t>
  </si>
  <si>
    <t>Al seleccionar un FEV que esté en estado finalizado (aprobado), al hacer clic en el botón «Descargar», el sistema muestra las opciones de formato disponibles: Word y PDF.</t>
  </si>
  <si>
    <t>V_34_2</t>
  </si>
  <si>
    <t>Al seleccionar el formato deseado, el sistema genera el documento en este formato y se inicia la descarga del documento. Mostrando alguna de las siguientes alertas: "[INFO]: Descargando FEV en formato PDF.." Ó "[INFO]: Descargando FEV en formato Word..."</t>
  </si>
  <si>
    <t>Se abre una ventana nueva</t>
  </si>
  <si>
    <t>V_34_3</t>
  </si>
  <si>
    <t>Si ocurre un error durante la generación del documento, se muestra un mensaje: "[ERROR]: Error al generar el documento". Debe Mostrar tipo de Error (500, 401, 403, 404, 503, TIMEOUT (30 segundos)). El usuario puede intentar con otro formato o reportar el problema.</t>
  </si>
  <si>
    <t>Probar con DEV</t>
  </si>
  <si>
    <t>V_34_4</t>
  </si>
  <si>
    <t>Si se solicita la descarga de un documento extenso, y el proceso de generación excede el tiempo límite, el sistema muestra un mensaje: “El documento está siendo preparado. Recibirá una notificación cuando esté listo”. El sistema procesa la generación en segundo plano y notifica al usuario cuando esté disponible.</t>
  </si>
  <si>
    <t>V_35</t>
  </si>
  <si>
    <t>Notificacion por Cambio de Estado</t>
  </si>
  <si>
    <t>Gestión de Evidencias / Gestión Obs.</t>
  </si>
  <si>
    <t>Sistema (Automático), Equipos de GRM</t>
  </si>
  <si>
    <t>V_35_1</t>
  </si>
  <si>
    <t>Si existen cambios en los estados de las observaciones de «Vigente» a «En Validación», se debe enviar automáticamen un correo electrónico a los equipos de GRM y Validación al día siguiente con las listas de ID Informes e ID Observación que cambiaron de estado con el formato del correo a acordar (ID Informe, Id Observación, Esado anterior, Estado actual, Fecha de cambio de estado).</t>
  </si>
  <si>
    <t>27/07: A la espera de ejecución de correos</t>
  </si>
  <si>
    <t>Revisar con Sergio esto es un error que actualmente se encuentra en produccion</t>
  </si>
  <si>
    <t>V_35_2</t>
  </si>
  <si>
    <t>Se registra el envío exitoso del correo en el sistema.</t>
  </si>
  <si>
    <t>Depende de corrección V_35_1</t>
  </si>
  <si>
    <t>Revisar con Joseph y no depende de ninguna correccion</t>
  </si>
  <si>
    <t>V_35_3</t>
  </si>
  <si>
    <t>Si existe error en el servicio del correo, el sistema registra el error en los logs del sistema y se programa un reintento. Si el reintento falla, el sistema notifica al administrador del sistema.</t>
  </si>
  <si>
    <t>V_35_4</t>
  </si>
  <si>
    <t>Si no existen cambios de estado en el periodo, el sistema registra en los logs que se ejecutó el proceso pero no había notificaciones pendientes.</t>
  </si>
  <si>
    <t>V_35_5</t>
  </si>
  <si>
    <t>Si el sistema envía el correo electrónico exitosamente, y el servidor de correo receptor devuelve el mensaje (bounce), el sistema recibe la notificación de correo devuelto, registra el incidente y notifica al administrador sobre la dirección de correo inválida.</t>
  </si>
  <si>
    <t>V_36</t>
  </si>
  <si>
    <t>Correccion de Cambio de Estado a Excepcionada</t>
  </si>
  <si>
    <t>V_36_1</t>
  </si>
  <si>
    <t>Al navegar hasta una observación especifica, e intentar cambiar el estado de la observación que se encuentra como «Excepcionada», se actualiza correctamente el cambio de estado y el sistema confirma el cambio de estado exitoso, siempre y cuando se tenga el rol necesario para esta acción y la observación cumpla con lo requisitos de este estado.</t>
  </si>
  <si>
    <t>2026-08-10</t>
  </si>
  <si>
    <t>10/08: La solución no fue resuelta, sin embargo, se conversó con el equipo desarrollador de dejar la funcionalidad como estaba operando en producción</t>
  </si>
  <si>
    <t>Revisar con Sergio en el TOBE requerimiento V_36 se indica que cuando la observacion esta excepcionada no es posible cambiarla de estado. debe quedar bloqueada.</t>
  </si>
  <si>
    <t>V_36_2</t>
  </si>
  <si>
    <t>Si se quiere cambiar desde un estado no válido a excepcionada, se muestra mensaje de error: "Transición de estado no válida".</t>
  </si>
  <si>
    <t>V_37</t>
  </si>
  <si>
    <t>Conservacion de Dias en Estado En Validacion</t>
  </si>
  <si>
    <t>V_37_1</t>
  </si>
  <si>
    <t>El usuario navega hasta una observación con el estado «En Validación», en donde se muestran la información de la Observación, incluyendo los días que lleva en validación. El conteo debe comenzar al cambiarse de estado la observación a En Validación</t>
  </si>
  <si>
    <t>No existen observaciones vigentes, para crear alguna es necesario que el flujo funciones correctamente con el codigo V_21_4</t>
  </si>
  <si>
    <t>V_37_2</t>
  </si>
  <si>
    <t>Al subir evidencia correctamente, el sistema actualiza la lista de evidencias asociadas a la obs. El sistema muestra un mensaje de éxito en la carga de evidencia: "[EXITO]: Evidencia cargada correctamente." y NO se reinicia el conteo de días.</t>
  </si>
  <si>
    <t>24/07: Los perfiles de desarrollador e implementación (ejecutor y aprobador) bno pueden ver la columna Estado</t>
  </si>
  <si>
    <t>Corregido / probar nuevamente  caso de borde por calculo de fecha retorna 1051 y la funcion de formato de dias soporta hasta 999</t>
  </si>
  <si>
    <t>V_37_3</t>
  </si>
  <si>
    <t>Si al intentar subir evidencia adicional, ocurre un error, el sistema debe mostrar un mensaje de error: "[ERROR]: Error al cargar la evidencia." Se debe mostrar el tipo de error. El usuario debe poder intentar nuevamente con un archivo diferente.</t>
  </si>
  <si>
    <t>V_37_4</t>
  </si>
  <si>
    <t>Si la evidencia es cargada exitosamente por el usuario pero los días en validación se reiniciaron, el usuario debe poder reportar el error y el administrador puede revisar la configuración del sistema.</t>
  </si>
  <si>
    <t>V_38</t>
  </si>
  <si>
    <t>Asignacion de Fecha de Compromiso al Cerrar</t>
  </si>
  <si>
    <t>V_38_1</t>
  </si>
  <si>
    <t>Cuando una observacion pase a cerrada y esta no tiene fecha de compromiso, se le debe poner en la columna «Nueva fecha de compromiso», el día en que pasa a cerrada. El sistema muestra un mensaje de confirmación del cierre.</t>
  </si>
  <si>
    <t>2026-05-14</t>
  </si>
  <si>
    <t>V_38_2</t>
  </si>
  <si>
    <t>Si la observación ya tiene una fecha de compromiso, se mantiene la fecha existente.</t>
  </si>
  <si>
    <t>V_38_3</t>
  </si>
  <si>
    <t>Si existe error en el proceso de cierre de la observación, se debe mostrar el mensaje de error: " [ERROR]: Error en el proceso de cierre"</t>
  </si>
  <si>
    <t>V_38_4</t>
  </si>
  <si>
    <t>Si el usuario cancela el proceso de cierre, el sistema no realiza cambios y la observación permanece en su estado anterior.</t>
  </si>
  <si>
    <t>V_39</t>
  </si>
  <si>
    <t>Calculo de Nota de Informe para Modelos Historicos</t>
  </si>
  <si>
    <t>V_39_1</t>
  </si>
  <si>
    <t>Para todos los modelos y metodologías anteriores a la fecha del 31/03/2022 su nota de informe de implementación debe ser:</t>
  </si>
  <si>
    <t>V_39_2</t>
  </si>
  <si>
    <t>Los campos se registran de manera correcta:</t>
  </si>
  <si>
    <t>V_39_3</t>
  </si>
  <si>
    <t>Si el modelo no es anterior a la fecha indicada, no se rige bajo la formula. Usa formula estándar.</t>
  </si>
  <si>
    <t>V_40</t>
  </si>
  <si>
    <t>Modificacion de Notas de Validacion —Informes Post Mayo 2025</t>
  </si>
  <si>
    <t>V_40_1</t>
  </si>
  <si>
    <t>Las modificaciones realizadas en las notas de validación deben correr para los modelos y metodologías cuyos informes sean posteriores a Mayo 2025.</t>
  </si>
  <si>
    <t>Falta modificación de formula para que tome los ambitos que no tienen observación con nota 1</t>
  </si>
  <si>
    <t>Reprobar porque la formula fue actualizada</t>
  </si>
  <si>
    <t>V_40_2</t>
  </si>
  <si>
    <t>Notas de longitud 2, (no se especifica numero de decimales ni rango de notas posible)</t>
  </si>
  <si>
    <t>V_40_3</t>
  </si>
  <si>
    <t>El sistema registra las modificaciones en el historial de cambios.</t>
  </si>
  <si>
    <t>V_40_4</t>
  </si>
  <si>
    <t>Si el informe es anterior a junio 2025, se deshabilita la edición de notas y el sistema muestra un mensaje: “Las notas de validación no pueden modificarse para informes anteriores a Junio 2025".</t>
  </si>
  <si>
    <t>V_40_5</t>
  </si>
  <si>
    <t>Si se intenta guardar modificaciones de notas y ocurre un error en la base de datos, se muestra un mensaje de error. (Flujo alternativo)</t>
  </si>
  <si>
    <t>V_41</t>
  </si>
  <si>
    <t>Proteccion de Notas de Validacion —Informes Pre Junio 2025</t>
  </si>
  <si>
    <t>V_41_1</t>
  </si>
  <si>
    <t>Las modificaciones realizadas en las notas de validación no deben poder modificarse para los modelos y metodologías cuyos informes sean anteriores a Junio 2025 (Fecha limite protección: 01/06/2025).</t>
  </si>
  <si>
    <t>2026-06-30</t>
  </si>
  <si>
    <t>30/06: Se esta revisando la carga de las notas finales de los informes, dado que actualmente no se están calculando bien</t>
  </si>
  <si>
    <t>V_41_2</t>
  </si>
  <si>
    <t>El usuario debe poder visualizar las notas pero no poder editarlas.</t>
  </si>
  <si>
    <t>V_41_3</t>
  </si>
  <si>
    <t>Se muestra un indicador visual de que las notas están protegidas.</t>
  </si>
  <si>
    <t>V_41_4</t>
  </si>
  <si>
    <t>Si se intenta modificar un campo que el sistema detecta como protegido por la fecha del informe, se muestra un mensaje: “Las notas de este informe están protegidas por fecha”.</t>
  </si>
  <si>
    <t>V_NU_42</t>
  </si>
  <si>
    <t>Inclusión del campo “Criticidad de Uso” por cada modelo independiente</t>
  </si>
  <si>
    <t>Formulario Informe de Validación</t>
  </si>
  <si>
    <t>V_NU_42_1</t>
  </si>
  <si>
    <t>El usuario al acceder al informe de Validación, debe poder visualizar los N modelos asignados, en donde se desplega el campo “Criticidad de Uso” para cada modelo asignado al formulario de Informe de Validación. Cada modelo debe poder declarar su propia criticidad, asociada al concepto “Materialidad: Criticidad de Uso”.</t>
  </si>
  <si>
    <t>V_NU_42_2</t>
  </si>
  <si>
    <t>El campo Criticidad de Uso es una lista desplegable: Alto, Medio, Bajo, Muy Bajo.</t>
  </si>
  <si>
    <t>V_NU_42_3</t>
  </si>
  <si>
    <t>Si el sistema no encuentra ningún modelo asignado al informe que se quiere editar, se presenta un mensaje informativo no bloqueante indicando que el informe requiere al menos un modelo para registrar criticidad.</t>
  </si>
  <si>
    <t>La criticidad viene precargada junto con el nombre del modelo</t>
  </si>
  <si>
    <t>V_NU_42_4</t>
  </si>
  <si>
    <t>El usuario solo podrá avanzar en acciones relacionadas con la criticidad (por ejemplo, cálculo de materialidad o envío a aprobación final) una vez que haya asignado al menos un modelo al informe.</t>
  </si>
  <si>
    <t>Explicación Caso de Prueba 15-may:</t>
  </si>
  <si>
    <t>2026-07-22</t>
  </si>
  <si>
    <t>corregido probar nuevamente</t>
  </si>
  <si>
    <t>V_NU_43</t>
  </si>
  <si>
    <t>Implementación de botón/ícono “Eliminar FEV”</t>
  </si>
  <si>
    <t>Validación / FEV – Formulario de Excepción de Validación</t>
  </si>
  <si>
    <t>Administrador</t>
  </si>
  <si>
    <t>V_NU_43_1</t>
  </si>
  <si>
    <t>Si un usuario Administrador abre FEV, al presionar el botón "Eliminar FEV" y confirmar la acción (“¿Está seguro de eliminar el FEV?”), el sistema marca el FEV como eliminado (borrado logico) y registra la auditoría.</t>
  </si>
  <si>
    <t>V_NU_43_2</t>
  </si>
  <si>
    <t>Tras eliminar el FEV, este no queda visible para otros perfiles que no sean administrador.</t>
  </si>
  <si>
    <t>V_NU_43_3</t>
  </si>
  <si>
    <t>Si un usuario sin permisos abre FEV, no debe poder visualizar el botón de "Eliminar FEV"</t>
  </si>
  <si>
    <t>V_NU_43_4</t>
  </si>
  <si>
    <t>Si un Administrador tras presionar el botón "Eliminar FEV", al momento de confirmar la acción, presiona "Cancelar", se cancela la acción y no se elimina.</t>
  </si>
  <si>
    <t>V_NU_44</t>
  </si>
  <si>
    <t>Aumentar longitud y habilitar texto enriquecido en Descripción</t>
  </si>
  <si>
    <t>Vista de Observaciones</t>
  </si>
  <si>
    <t>GRM_VALIDADOR_EJECUTOR, GRM_VALIDADOR_APROBADOR y GRM_ADMINISTRADOR</t>
  </si>
  <si>
    <t>V_NU_44_1</t>
  </si>
  <si>
    <t>Los campos Descripción Inicial y Descripción Final permiten hasta 40000 caracteres y formato texto enriquecido (negritas, subrayado, tablaciones, etc...).</t>
  </si>
  <si>
    <t>V_NU_44_2</t>
  </si>
  <si>
    <t>Si se intenta ingresar mas caracteres de los permitidos, se muestra alerta: “Campo supera longitud permitida”.</t>
  </si>
  <si>
    <t>Miguel Debe indicar mensaje</t>
  </si>
  <si>
    <t>V_NU_44_3</t>
  </si>
  <si>
    <t>Si el usuario intenta pegar contenido con formato no permitido, el sistema muestra un mensaje indicando el formato no soportado.</t>
  </si>
  <si>
    <t>V_NU_45</t>
  </si>
  <si>
    <t>Autocompletar Descripción Final desde Descripción Inicial</t>
  </si>
  <si>
    <t>V_NU_45_1</t>
  </si>
  <si>
    <t>Al escribir en Descripción Final, el sistema debe sugerir/autocompletar cuando las primeras palabras coincidan con Descripción Inicial.</t>
  </si>
  <si>
    <t>V_NU_45_2</t>
  </si>
  <si>
    <t>Se debe poder aceptar o ignorar la sugerencia.</t>
  </si>
  <si>
    <t>V_NU_45_3</t>
  </si>
  <si>
    <t>Si se excede la longitud máxima de caracteres, (más de 40.000), el sistema resalta el campo en rojo y muestra error: "Longitud máxima excedida (40000 caracteres)".</t>
  </si>
  <si>
    <t>V_NU_46</t>
  </si>
  <si>
    <t>Reemplazo de “Nota” por Gravedad Inicial y Gravedad Final</t>
  </si>
  <si>
    <t>V_NU_46_1</t>
  </si>
  <si>
    <t>Al acceder a una observación, abrir formulario de edición de una observación existente o al crear una nueva, se deben visualizar los campos numéricos: "Gravedad Inicial" y "Gravedad Final" (Antes mostrados como "Nota")</t>
  </si>
  <si>
    <t>V_NU_46_2</t>
  </si>
  <si>
    <t>Los campos aceptam formato decimal (dos decimales: 1,00). Ambos campos son con rangos entre 1,00 a 5,00.</t>
  </si>
  <si>
    <t>V_NU_46_3</t>
  </si>
  <si>
    <t>Al guardar cambios el sistema persiste ambos valores en la base de datos.</t>
  </si>
  <si>
    <t>V_NU_46_4</t>
  </si>
  <si>
    <t>Valor fuera de rango:</t>
  </si>
  <si>
    <t>V_NU_47</t>
  </si>
  <si>
    <t>Relación Observación–Modelo (muchos‑a‑muchos)</t>
  </si>
  <si>
    <t>V_NU_47_1</t>
  </si>
  <si>
    <t>El sistema debe permitir que una observación se vincule a múltiples modelos:</t>
  </si>
  <si>
    <t>Faltan los campos de Descripción Inicial y Final</t>
  </si>
  <si>
    <t>12-may (NOK - ALTA)</t>
  </si>
  <si>
    <t>Postergado porque no es estandar de APEX</t>
  </si>
  <si>
    <t>V_NU_47_2</t>
  </si>
  <si>
    <t>Si existe un vínvulo duplicado:</t>
  </si>
  <si>
    <t>Depende de corrección V_NU_47_1</t>
  </si>
  <si>
    <t>No se puedes agregar modelos duplicados porque la lista no muestra modelos ya asignados</t>
  </si>
  <si>
    <t>V_NU_48</t>
  </si>
  <si>
    <t>Campo “Principio"</t>
  </si>
  <si>
    <t>V_NU_48_1</t>
  </si>
  <si>
    <t>Al navegar hasta la vista de observaciones, se debe poder visualizar el campo "Principio" como una lista desplegable, el sistema valida al mantenedor y trae los valores respectivos. Se debe poder elegir entre las opciones P1, P2, P3, P4 y P5.</t>
  </si>
  <si>
    <t>V_NU_48_2</t>
  </si>
  <si>
    <t>El campo "Principio es Obligatorio"</t>
  </si>
  <si>
    <t>V_NU_49</t>
  </si>
  <si>
    <t>Carga Masiva de Informes desde Planilla Excel con Validador</t>
  </si>
  <si>
    <t>V_NU_49_1</t>
  </si>
  <si>
    <t>El usuario administrador tras navegar hasta la vista de observaciones del modulo de Validación, hacer clic en botón "Cargar Template Excel". El sistema muestra la página de carga masiva con el formulario de selección de archivo.</t>
  </si>
  <si>
    <t>10/08: No se verifica el botón dentro de las observaciones de validacion</t>
  </si>
  <si>
    <t>V_NU_49_2</t>
  </si>
  <si>
    <t>Al cargar un archivo excel, el sistema valida formato (.xlsx) y tamaño del archivo (max. 10 MB) y muestra error si no cumple.</t>
  </si>
  <si>
    <t>V_NU_49_3</t>
  </si>
  <si>
    <t>Tras cargar, el sistema actualiza el link de botón “Descargar Formato” y muestra notificación de éxito.</t>
  </si>
  <si>
    <t>V_NU_49_4</t>
  </si>
  <si>
    <t>El sistema valida las columnas esperadas en este archivo  (Definidas en nueva plantilla descargable, ver TOBE) Si el archivo que se carga tiene formato inválido, el sistema muestra un mensaje: "El archivo no cumple con el formato esperado."</t>
  </si>
  <si>
    <t>V_NU_50</t>
  </si>
  <si>
    <t>Campo "Porc. Prueba"</t>
  </si>
  <si>
    <t>Usuario Validador, Administrador</t>
  </si>
  <si>
    <t>V_NU_50_1</t>
  </si>
  <si>
    <t>Usuario Validador o administrador, al navegar hasta la pantalla de edición del registro, al ubicarse en el campo "Porc. Prueba" debe poder ingresar un valor numérico entre 0 y 100.</t>
  </si>
  <si>
    <t>El sistema debe permitir registrar un valor numérico de porcentaje de prueba asociado al registro . El valor debe estar entre 0 y 100. Si el campo se deja vacío, se considera como valor nulo.</t>
  </si>
  <si>
    <t>V_NU_50_2</t>
  </si>
  <si>
    <t>Si se ingresa un valor dentro del rango, se guardan los cambios y el sistema persiste el valor en la base de datos.</t>
  </si>
  <si>
    <t>V_NU_50_3</t>
  </si>
  <si>
    <t>Si el campo queda en blanco el sistema debe permitir guardar sin errores, y el valor queda guardado en base de datos como NULL.</t>
  </si>
  <si>
    <t>Desarrollo debe entregar la evidencia para darlo por aprobado</t>
  </si>
  <si>
    <t>V_NU_50_4</t>
  </si>
  <si>
    <t>Si se ingresa un valor fuera de rango se muestra un mensaje de alerta: 'El porcentaje de prueba debe estar entre 0 y 100'. Se impide guardar hasta corregir el valor.</t>
  </si>
  <si>
    <t>V_NU_50_5</t>
  </si>
  <si>
    <t>Si se ingresa un valor No numérico, el sistema limita el ingreso y muestra alerta: 'Solo se permiten valores numéricos'.</t>
  </si>
  <si>
    <t>Seguimiento y Control</t>
  </si>
  <si>
    <t>SC_1</t>
  </si>
  <si>
    <t>Alto</t>
  </si>
  <si>
    <t>CAMBIO DE NOMBRE DEL MÓDULO</t>
  </si>
  <si>
    <t>Sistema (automático)</t>
  </si>
  <si>
    <t>SC_1.1</t>
  </si>
  <si>
    <t>En el menú principal de navegación se puede visualizar el elemento denominado "Seguimiento y Control" en lugar de "Obs. Performance". Al hacer click se carga la página principal de este módulo.</t>
  </si>
  <si>
    <t>SC_2</t>
  </si>
  <si>
    <t>CONFIGURACIÓN DE TRES PESTAÑAS FUNCIONALES</t>
  </si>
  <si>
    <t>GRM_IMPLEM_EJECUTOR</t>
  </si>
  <si>
    <t>SC_2.1</t>
  </si>
  <si>
    <t>Dentro del Módulo de Seguimiento y Control se muestran 3 pestañas,</t>
  </si>
  <si>
    <t>Revisar Actores, no tienen los accesos</t>
  </si>
  <si>
    <t>SC_2.2</t>
  </si>
  <si>
    <t>Al seleccionar cada pestaña, el contenido es mostrado sin necesidad de recargar la página, manteniendo el estado de los datos ingresados.</t>
  </si>
  <si>
    <t>SC_2.4</t>
  </si>
  <si>
    <t>Si el modelo pasa a Caducidad, no se deben visualizar Registros de Control</t>
  </si>
  <si>
    <t>2026-07-30</t>
  </si>
  <si>
    <t>1358-1 Modelo Prueba</t>
  </si>
  <si>
    <t>SC_2.5</t>
  </si>
  <si>
    <t>Si se desactiva la etapa "En uso", no se deben visualizar Registros de Control</t>
  </si>
  <si>
    <t>2026-05-29</t>
  </si>
  <si>
    <t>POSTERGADA A GARANTÍA</t>
  </si>
  <si>
    <t>Depende de Desarrollo Activar/Desactivar Etapas</t>
  </si>
  <si>
    <t>SC_3</t>
  </si>
  <si>
    <t>REGISTRO AUTOMÁTICO DE CONTROL:</t>
  </si>
  <si>
    <t>SC_3.1</t>
  </si>
  <si>
    <t>Si un usuario con rol de aprobador (GRM_REVISOR) al cambiar la etapa de un modelo a "En Uso" en el ciclo de vida del modelo, el sistema debe crear un nuevo registro de control en la pestaña correspondiente.</t>
  </si>
  <si>
    <t>Al mover la etapa de un modelo a En USO, no se visualiza en Controles</t>
  </si>
  <si>
    <t>SC_3.2</t>
  </si>
  <si>
    <t>El sistema registra en auditoría la creación automática con fecha y usuario del sistema.</t>
  </si>
  <si>
    <t>2026-08-07</t>
  </si>
  <si>
    <t>Los formularios de Seguimiento y de Controles, no llevan el historico de cambios</t>
  </si>
  <si>
    <t>2026-07-29</t>
  </si>
  <si>
    <t>SC_3.3</t>
  </si>
  <si>
    <t>Cada modelo en etapa En Uso tiene un registro de control creado automáticamente. Este registro aparece visible en la pestaña Control. Cada registro contiene los datos básicos del modelo.</t>
  </si>
  <si>
    <t>2026-07-31</t>
  </si>
  <si>
    <t>24/07: Es necesario un Update para cargar todos los modelos en uso en control y en seguimiento</t>
  </si>
  <si>
    <t>SC_3.4</t>
  </si>
  <si>
    <t>Al ingresar a la sección de Controles, se muestra la grilla con los siguientes campos:</t>
  </si>
  <si>
    <t>Falta:</t>
  </si>
  <si>
    <t>SC_3.5</t>
  </si>
  <si>
    <t>Todos los Modelos de Riesgo de Crédito (TIPO Modelo y Familia Riesgo CREDITO) serán derivados automáticamente a “Seguimiento” y el resto será destinado a “Controles” (TIPO Metodología y Familia Riesgo CREDITO / TIPO Modelo/ Metodología y otra familia ).</t>
  </si>
  <si>
    <t>Definición Usuario 3-jun:</t>
  </si>
  <si>
    <t>28--may (NOK - ALTA)</t>
  </si>
  <si>
    <t>SC_3.6</t>
  </si>
  <si>
    <t>Cuando el modelo pasa a Caducidad se “oculta” el Modelo. También se “oculta” cuando se desactiva la etapa “En Uso” y vuelve a “mostrarse cuando se reactiva la etapa “En Uso”.</t>
  </si>
  <si>
    <t>se desactiva la etapa “En Uso” y vuelve a “mostrarse cuando se reactiva la etapa “En Uso”. --&gt; NO SE</t>
  </si>
  <si>
    <t>SC_3.7</t>
  </si>
  <si>
    <t>Todos los modelos deben tener su seguimiento y control respectivos.</t>
  </si>
  <si>
    <t>Al pasar a etapa "En caducidad", se mantiene el modelo en pestaña "Controles"</t>
  </si>
  <si>
    <t>SC_4</t>
  </si>
  <si>
    <t>NOTIFICACIÓN POR CORREO AL INGRESAR MODELO</t>
  </si>
  <si>
    <t>SC_4.1</t>
  </si>
  <si>
    <t>Al entrar el modelo En Uso por primera vez, se debe informar al responsable de seguimiento para identificar si está dentro de su Alcance a través de correo electrónico a la casilla del área.</t>
  </si>
  <si>
    <t>3-jun Miguel revisará habilitación del envío de correo con Jorge Signe.</t>
  </si>
  <si>
    <t>29-may (NOK - MEDIA)</t>
  </si>
  <si>
    <t>SC_4.2</t>
  </si>
  <si>
    <t>El destinatario (Responsable de seguimiento) Recibe el correo</t>
  </si>
  <si>
    <t>SC_4.3</t>
  </si>
  <si>
    <t>El correo enviado sigue el formato descrito en el documento TOBE:</t>
  </si>
  <si>
    <t>SC_5</t>
  </si>
  <si>
    <t>MANTENEDOR DE CORREO DEL ÁREA DE SEGUIMIENTO:</t>
  </si>
  <si>
    <t>SC_5.1</t>
  </si>
  <si>
    <t>Al acceder al menú de configuración de los mantenedores, en "Mantenedor de correos de Area de seguimiento", el sistema muestra una lista de correos configurados con su estado (Activo/Inactivo), junto con su información adicional.</t>
  </si>
  <si>
    <t>29-may: No se encuentra Mantenedor. Se consulta a Miguel</t>
  </si>
  <si>
    <t>SC_5.2</t>
  </si>
  <si>
    <t>Usuarios sin el rol requerido, no deben tener permitida la visualización del módulo.</t>
  </si>
  <si>
    <t>SC_5.3</t>
  </si>
  <si>
    <t>En mantenedor se debe poder agregar nuevos correos, editar los existentes o activar/desactivar registros. (GRM_ADMINISTRADOR debe poder realizar todas las operaciones (agregar/editar/eliminar))</t>
  </si>
  <si>
    <t>SC_5.4</t>
  </si>
  <si>
    <t>El sistema muestra las siguientes Alertas:</t>
  </si>
  <si>
    <t>SC_6</t>
  </si>
  <si>
    <t>CAMBIOS A TABLA T_OBS_PERF:</t>
  </si>
  <si>
    <t>Seguimiento y Control /Control</t>
  </si>
  <si>
    <t>SC_6.1</t>
  </si>
  <si>
    <t>Cambios realizados por los usuarios en la tabla T_OBS_PERF, serán mostrados en la grilla sólo si los  los registros se encuentran en estado Activos y En uso.</t>
  </si>
  <si>
    <t>07/08: Bloqueado por historia SC_3.3</t>
  </si>
  <si>
    <t>SC_7</t>
  </si>
  <si>
    <t>CONFIGURACIÓN DE PESTAÑA CONTROL:</t>
  </si>
  <si>
    <t>GRM_RESPO_SEG_EJECUTOR,</t>
  </si>
  <si>
    <t>SC_7.1</t>
  </si>
  <si>
    <t>Al ingresar a la ventana de inicio de la pestaña Controles, se tiene una tabla con las siguientes columnas:</t>
  </si>
  <si>
    <t>07/08: No se visualiza las columnas Familia, Fecha Próximo Control</t>
  </si>
  <si>
    <t>SC_7.2</t>
  </si>
  <si>
    <t>Todos los campos de la Cabecera son Solo Lectura (Excepto el botón Enviar a Seguimiento)</t>
  </si>
  <si>
    <t>2026-06-03</t>
  </si>
  <si>
    <t>01-jun (NOK - ALTA)</t>
  </si>
  <si>
    <t>SC_8</t>
  </si>
  <si>
    <t>Carga masiva desde Excel:</t>
  </si>
  <si>
    <t>Seguimiento y Control / Control</t>
  </si>
  <si>
    <t>GRM_RESPO_SEG_EJECUTOR, GRM_RESPO_SEG_APROBADOR, GRM_REVISOR, GRM_ADMINISTRADOR</t>
  </si>
  <si>
    <t>SC_8.1</t>
  </si>
  <si>
    <t>En la pestaña de Controles, se muestra botón de "Carga Información", que deberá llamar a la funcionalidad de carga de observaciones desde una plantilla excel.</t>
  </si>
  <si>
    <t>07/08: La plantilla no contiene los campos necesarios que tiene el formulario de controles</t>
  </si>
  <si>
    <t>SC_8.2</t>
  </si>
  <si>
    <t>Al presionar el botón de Cargar Información, el sistema despliega un diálogo en donde el usuario puede buscar y seleccionar el archivo Excel con la plantilla que quiera subir.</t>
  </si>
  <si>
    <t>SC_8.3</t>
  </si>
  <si>
    <t>El sistema debe validar que el archivo tenga la extensión correcta (.xlsx o .xls). En caso contrario muestra una alerta.</t>
  </si>
  <si>
    <t>SC_8.4</t>
  </si>
  <si>
    <t>El sistema debe validar que el tamaño del archivo no exceda los 10 MB. En caso contrario muestra una alerta.</t>
  </si>
  <si>
    <t>El limite del tamaño del archivo es 10, y muestra 9.77</t>
  </si>
  <si>
    <t>SC_8.5</t>
  </si>
  <si>
    <t>SC_8.6</t>
  </si>
  <si>
    <t>Dentro de la plantilla que se sube, se deben tener las mismas columnas para los modelos y cargarlos todos de forma masiva si fuera necesario usar esta modalidad.</t>
  </si>
  <si>
    <t>SC_9</t>
  </si>
  <si>
    <t>Medio</t>
  </si>
  <si>
    <t>Mantenedor de plantillas de carga:</t>
  </si>
  <si>
    <t>SC_9.1</t>
  </si>
  <si>
    <t>En la vista de Control debe existir un botón "Cargar Template Excel" visible unicamente para el rol Administrador.</t>
  </si>
  <si>
    <t>SC_9.2</t>
  </si>
  <si>
    <t>El botón de permitir la carga de la Plantilla Excel, la cual los demás usuarios podrán descargar posteriormente para la carga masiva de observaciones.</t>
  </si>
  <si>
    <t>SC_9.3</t>
  </si>
  <si>
    <t>Usuarios con otro rol no deben poder visualizar el botón.</t>
  </si>
  <si>
    <t>SC_9.4</t>
  </si>
  <si>
    <t>El sistema debe validar el formato (Excel) y el tamaño máximo del archivo (10 MB).</t>
  </si>
  <si>
    <t>SC_9.5</t>
  </si>
  <si>
    <t>SC_10</t>
  </si>
  <si>
    <t>FORMULARIO DE CABECERA DE CONTROL:</t>
  </si>
  <si>
    <t>GRM_RESPO_SEG_APROBADOR, GRM_REVISOR, GRM_ADMINISTRADOR</t>
  </si>
  <si>
    <t>SC_10.1</t>
  </si>
  <si>
    <t>En la pestaña Controles, se muestran los siguientes campos en la cabecera de la pestaña:</t>
  </si>
  <si>
    <t>2026-07-21</t>
  </si>
  <si>
    <t>SC_10.2</t>
  </si>
  <si>
    <t>El botón Agregar Registro abre un modal/formulario para agregar un nuevo registro de control.</t>
  </si>
  <si>
    <t>2026-06-01</t>
  </si>
  <si>
    <t>SC_10.3</t>
  </si>
  <si>
    <t>Todos los campos son sólo lectura, excepto el Switch Responsable de Seguimiento</t>
  </si>
  <si>
    <t>No se visualiza el Switch</t>
  </si>
  <si>
    <t>SC_11</t>
  </si>
  <si>
    <t>CAMPO FECHA ÚLTIMO CONTROL:</t>
  </si>
  <si>
    <t>SC_11.1</t>
  </si>
  <si>
    <t>En la pestaña de Controles, el campo Fecha Último Control es un campo no  editable, sólo de lectura. Si no existe información en registro consolidado, la fecha de último control es la fecha de Ingreso a estado "en Uso".</t>
  </si>
  <si>
    <t>Campo se muestra en una grilla y vacío</t>
  </si>
  <si>
    <t>SC_11.2</t>
  </si>
  <si>
    <t>Formato de fecha: La fecha presentada debe cumplir con el formato de visualización definido (DD/MM/YYYY).</t>
  </si>
  <si>
    <t>Depende de corrección SC_11.1</t>
  </si>
  <si>
    <t>SC_12</t>
  </si>
  <si>
    <t>CAMPO FECHA PRÓXIMA REVISIÓN:</t>
  </si>
  <si>
    <t>Sistema(Automático), GRM_ADMINISTRADOR</t>
  </si>
  <si>
    <t>SC_12.1</t>
  </si>
  <si>
    <t>El usuario al acceder al menú de Mantenedores, se debe poder acceder al mantenedor de de fechas oficiales de próximo control.</t>
  </si>
  <si>
    <t>SC_12.2</t>
  </si>
  <si>
    <t>Tras ingresar a la página, se visualiza un botón "Nuevo", el cual despliega un formulario para agregar un nuevo registro.</t>
  </si>
  <si>
    <t>Botón con otro nombre y Guardar aparece una i</t>
  </si>
  <si>
    <t>SC_12.3</t>
  </si>
  <si>
    <t>Se puede completar el formulario con los datos requeridos, y al presionar guardar, se validan los cambios y se muestra un mensaje de Éxito: “Fecha de próximo control guardada correctamente.”</t>
  </si>
  <si>
    <t>No permite guardar ni enviar</t>
  </si>
  <si>
    <t>SC_12.4</t>
  </si>
  <si>
    <t>El sistema no debe permitir visualización de este módulo a usuarios sin permisos.</t>
  </si>
  <si>
    <t>SC_12.5</t>
  </si>
  <si>
    <t>Si se intenta agregar un registro duplicado, el sistema muestra mensaje “Ya existe un registro activo con estos datos”.</t>
  </si>
  <si>
    <t>No permite realizar la prueba</t>
  </si>
  <si>
    <t>SC_13</t>
  </si>
  <si>
    <t>SWITCH RESPONSABLE DE SEGUIMIENTO</t>
  </si>
  <si>
    <t>GRM_REVISOR, GRM_ADMINISTRADOR</t>
  </si>
  <si>
    <t>SC_13.1</t>
  </si>
  <si>
    <t>El usuario GRM_REVISOR o GRM_ADMINISTRADOR al acceder al detalle de un modelo en la pestaña Controles, puede ver el estado del switch “Responsable de Seguimiento” en estado OFF, indicando que el modelo permanece en la pestaña Controles.</t>
  </si>
  <si>
    <t>SC_13.2</t>
  </si>
  <si>
    <t>En el caso que se active el switch, el modelo sale de la pestaña "Controles" y pasa a la pestaña "Seguimiento" y queda apagado en "Controles".</t>
  </si>
  <si>
    <t>No logra salir de la pestña controles, ya que no aparece fecha de en uso</t>
  </si>
  <si>
    <t>SC_13.3</t>
  </si>
  <si>
    <t>Luego de activar el switch, se ejecuta el proceso ASIGNAR_RESPONSABLE, se actualiza el estado del modelo, genera el registro correspondiente en la pestaña destino y conserva la Fecha Próximo Control ya asignada.</t>
  </si>
  <si>
    <t>No se visualizan cambios de estado ni Fecha Próximo Control</t>
  </si>
  <si>
    <t>SC_13.4</t>
  </si>
  <si>
    <t>Cuando el switch se mueve de estado ON / OFF, debe generar un nuevo registro en Seguimiento o Control, según corresponda. Manteniendo Fechas.</t>
  </si>
  <si>
    <t>No se visualiza campo "Calificación Seguimiento"</t>
  </si>
  <si>
    <t>SC_13.5</t>
  </si>
  <si>
    <t>Usuarios sin permisos no deben moder activar/desactivar el switch.</t>
  </si>
  <si>
    <t>Administrador no ve información de seguimiento y control, por lo que no puede acceder al botón "Enviar a Seguimiento" (Switch)</t>
  </si>
  <si>
    <t>SC_13.6</t>
  </si>
  <si>
    <t>La cantidad de registros de control y seguimiento depende de la cantidad de exposiciones que tenga el modelo (Registrado en Etapa de Desarrollo)</t>
  </si>
  <si>
    <t>SC_14</t>
  </si>
  <si>
    <t>CAMPO RIESGO EN CONTROL</t>
  </si>
  <si>
    <t>SC_14.1</t>
  </si>
  <si>
    <t>Al acceder al detalle de un modelo en la pestaña "Controles", se puede visualizar el campo " Calificación de Seguimiento"</t>
  </si>
  <si>
    <t>Depende de corrección SC_7.1</t>
  </si>
  <si>
    <t>SC_14.2</t>
  </si>
  <si>
    <t>Si es la primera vez que un modelo entra "En Uso", el campo se muestra automáticamente como "Sin Control"</t>
  </si>
  <si>
    <t>SC_14.3</t>
  </si>
  <si>
    <t>Si ya existe un registro de control consolidado, se observa el valor según corresponda: "Con Control" o "Sin Control" en el campo.</t>
  </si>
  <si>
    <t>SC_14.4</t>
  </si>
  <si>
    <t>Si no existe el Riesgo en el registro de consolidado, el campo se muestra "En Uso"</t>
  </si>
  <si>
    <t>SC_14.5</t>
  </si>
  <si>
    <t>Se permite visualizar una descripción detallada de Calificación de Seguimiento, sólo cuando el estado es diferente a "Sin Control"</t>
  </si>
  <si>
    <t>SC_14.6</t>
  </si>
  <si>
    <t>El campo permanece actualizado automáticamente según el estado del modelo, sin necesidad de intervención manual.</t>
  </si>
  <si>
    <t>SC_15</t>
  </si>
  <si>
    <t>BOTÓN NUEVO REGISTRO DE CONTROL</t>
  </si>
  <si>
    <t>SC_15.1</t>
  </si>
  <si>
    <t>Al acceder al detalle de un modelo en la pestaña "Controles", se visualiza el botón "Nuevo Registro +", en donde se puede agregar una nueva observación del modelo.</t>
  </si>
  <si>
    <t>El botón aparece con el nombre "Agregar"</t>
  </si>
  <si>
    <t>SC_15.2</t>
  </si>
  <si>
    <t>Tras completar la información solicitada, se puede confirmar el guardado, el sistema valida los datos, se registra la observación y actualiza la información asociada al modelo en la página.</t>
  </si>
  <si>
    <t>No se guarda la información</t>
  </si>
  <si>
    <t>SC_15.3</t>
  </si>
  <si>
    <t>Depende de corrección SC_15.2</t>
  </si>
  <si>
    <t>SC_15.4</t>
  </si>
  <si>
    <t>Sólo los perfiles GRM_REVISOR y GRM_ADMINISTRADOR pueden realizar esta acción. En caso de que no se tenga el rol necesario, se muestra mensaje: “No tiene permisos para realizar esta acción”.</t>
  </si>
  <si>
    <t>SC_16</t>
  </si>
  <si>
    <t>ENCABEZADO RESUMEN DEL MODELO EN CONTROL</t>
  </si>
  <si>
    <t>SC_16.1</t>
  </si>
  <si>
    <t>Al acceder a un formulario de Controles de un modelo, se puede visualizar un encabezado resumen del modelo con los datos disponibles como sólo lectura:</t>
  </si>
  <si>
    <t>Faltan:</t>
  </si>
  <si>
    <t>SC_17</t>
  </si>
  <si>
    <t>CAMPOS DEL FORMULARIO DE CONTROL</t>
  </si>
  <si>
    <t>SC_17.1</t>
  </si>
  <si>
    <t>Al presionar el botón “Nuevo Registro +”, se despliega la página modal Formulario Control Modelo, asociada al modelo seleccionado. Los campos ID Observación, Responsable vienen precargados. Además, si hay valores precargados desde mantenedores o si existe descripción sugerida del registro anterior, debe venir precargada en los campos.</t>
  </si>
  <si>
    <t>SC_17.2</t>
  </si>
  <si>
    <t>El Formulario de Controles debe tener los siguientes campos:</t>
  </si>
  <si>
    <t>SC_17.3</t>
  </si>
  <si>
    <t>Tras presionar guardar, y si se tienen los campos obligatorios completados, se registra el formulario como borrador.</t>
  </si>
  <si>
    <t>SC_17.4</t>
  </si>
  <si>
    <t>Si se presiona enviar, teniendo todos lo campos obligatorios completados, se ejecuta el proceso correspondiente y el sistema deja el registro de control.</t>
  </si>
  <si>
    <t>1. No se visualizan datos obligatorios</t>
  </si>
  <si>
    <t>SC_17.5</t>
  </si>
  <si>
    <t>Si se presiona el botón Guardar o Enviar, y se tienen campos obligatorios vacíos, formatos inválidos o incumplimiento de reglas de negocios, se muestran mensajes de validación (Alerta) y se mantiene formulario abierto para la corrección.</t>
  </si>
  <si>
    <t>2026-08-05</t>
  </si>
  <si>
    <t>No aparecen alertas</t>
  </si>
  <si>
    <t>SC_18</t>
  </si>
  <si>
    <t>CAMPO CALIFICACIÓN DE SEGUIMIENTO EN CONTROL</t>
  </si>
  <si>
    <t>SC_18.1</t>
  </si>
  <si>
    <t>Al acceder al formulario de Controles del modelo, se muestra el campo "Calificación de Seguimiento" como una lista (select list) con dos opciones:</t>
  </si>
  <si>
    <t>SC_18.2</t>
  </si>
  <si>
    <t>Si un modelo pasa de "Seguimiento" a "Control" (mediante el switch), el sistema permite dejar este campo en blanco en el nuevo registro.</t>
  </si>
  <si>
    <t>No se entiende la funcionalidad</t>
  </si>
  <si>
    <t>SC_18.3</t>
  </si>
  <si>
    <t>El sistema guarda la selección, se aplica automáticamente la fórmula o validación definida por mantenedor de parámetros y actualiza el registro del modelo en la página.</t>
  </si>
  <si>
    <t>SC_19</t>
  </si>
  <si>
    <t>Bajo</t>
  </si>
  <si>
    <t>SC_19.1</t>
  </si>
  <si>
    <t>El sistema evalua diariamente las condiciones de alerta según la configuración que se establezca en los mantenedores.</t>
  </si>
  <si>
    <t>Revisar con Desarrollo</t>
  </si>
  <si>
    <t>SC_19.2</t>
  </si>
  <si>
    <t>Si se cumplen condiciones, por ejemplo, la fecha de próximo control sobrepasa la periodicidad, el sistema genera automáticamente una alerta correspondiente. El sistema envía un correo electrónico al destinatario configurado (Revisor) con los detalles de la alerta según como se definió en documento A&amp;D.</t>
  </si>
  <si>
    <t>SC_19.4</t>
  </si>
  <si>
    <t>El menú de mantenedor sólo se muestra a usuario con rol Administrador.</t>
  </si>
  <si>
    <t>SC_20</t>
  </si>
  <si>
    <t>VENTANA DE SOLICITUDES DE EXTENSIÓN</t>
  </si>
  <si>
    <t>Seguimiento y Control / Control / Extensión</t>
  </si>
  <si>
    <t>SC_20.1</t>
  </si>
  <si>
    <t>En la pestaña Controles, al presionar el botón "Solicitar Extensión", se despliega la ventana se solicitudes de extensión, en donde se muestran todas las solicitudes hechas, e incluye un botón de "Nueva Solicitud"</t>
  </si>
  <si>
    <t>el boton aparece con otro nombre</t>
  </si>
  <si>
    <t>SC_20.2</t>
  </si>
  <si>
    <t>Al presionar Nueva Solicitud, se muestra un formulario que se debe completar con Justificación (Obligatorio) y Plazo Solicitado (Obligatorio).</t>
  </si>
  <si>
    <t>No se visualiza el botón</t>
  </si>
  <si>
    <t>SC_20.3</t>
  </si>
  <si>
    <t>Se puede adjuntar documentos de soporte (Opcional) al presionar en Archivos +.</t>
  </si>
  <si>
    <t>No se visualiza adjuntar documentos</t>
  </si>
  <si>
    <t>SC_20.4</t>
  </si>
  <si>
    <t>Al presionar solicitar, el sistema valida campos obligatorios y se registra la solicitud. Se muestra el mensaje: “Solicitud de Extensión enviada correctamente”</t>
  </si>
  <si>
    <t>No está funcionando y no levanta alertas</t>
  </si>
  <si>
    <t>SC_20.5</t>
  </si>
  <si>
    <t>Otras alertas correspondientes a cada caso:</t>
  </si>
  <si>
    <t>SC_21</t>
  </si>
  <si>
    <t>FORMULARIO DE NUEVA SOLICITUD DE EXTENSIÓN</t>
  </si>
  <si>
    <t>SC_21.1</t>
  </si>
  <si>
    <t>Al presionar en el botón Nueva Solicitud, se debe desplegar el mini formulario de Solicitar Extensión.</t>
  </si>
  <si>
    <t>- Botón Solicitar Extensión: Tiene otro nombre</t>
  </si>
  <si>
    <t>SC_21.2</t>
  </si>
  <si>
    <t>El sistema valida que la justificación de la prórroga no esté vacia, el plazo solicitado está dentro de los límites permitidos, el registro asociado está en estado válido para solicitar prórroga.</t>
  </si>
  <si>
    <t>no se puede probar</t>
  </si>
  <si>
    <t>SC_22</t>
  </si>
  <si>
    <t>MENSAJE DE ALERTA AL SOLICITAR EXTENSIÓN</t>
  </si>
  <si>
    <t>SC_22.1</t>
  </si>
  <si>
    <t>Luego de que un usuario complete el formulario de "Nueva Solicitud", al presionar en "Solicitar Extensión", se muestra alerta:</t>
  </si>
  <si>
    <t>Depende de corrección SC_20 y SC_21</t>
  </si>
  <si>
    <t>SC_22.2</t>
  </si>
  <si>
    <t>Si la solicitud es aprobada por Revisor, el sistema modifica la fecha de Próximo Control y envía mensaje de alerta:</t>
  </si>
  <si>
    <t>SC_22.3</t>
  </si>
  <si>
    <t>En caso de que la solicitud sea rechazada, se muestra el mensaje:</t>
  </si>
  <si>
    <t>SC_22.4</t>
  </si>
  <si>
    <t>Usuario sin permisos: el sistema detecta que el usuario no tiene el rol requerido y muestra mensaje “No tiene permisos para realizar esta acción”.</t>
  </si>
  <si>
    <t>SC_23</t>
  </si>
  <si>
    <t>GRILLA DE SEGUIMIENTO CON COLUMNAS</t>
  </si>
  <si>
    <t>Seguimiento y Control / Seguimiento</t>
  </si>
  <si>
    <t>SC_23.1</t>
  </si>
  <si>
    <t>En la pagina de inicio de la pestaña "Seguimiento", se debe poder visualizar una grilla con las siguientes columnas:</t>
  </si>
  <si>
    <t>Revsiar el nombre de "Fecha de presentación"</t>
  </si>
  <si>
    <t>SC_23.2</t>
  </si>
  <si>
    <t>Usuario sin permisos: el sistema detecta que el usuario no tiene el rol requerido y no permite visualización del Módulo. (Sólo permiso para actores mencionados: GRM_RESPO_SEG_EJECUTOR, GRM_RESPO_SEG_APROBADOR, GRM_REVISOR, GRM_ADMINISTRADOR )</t>
  </si>
  <si>
    <t>GRM_RESPO_SEG_EJECUTOR y GRM_RESPO_SEG_APROBADOR no ven y no pueden editar la información dela pestaña "Seguimiento" y "Controles"</t>
  </si>
  <si>
    <t>SC_24</t>
  </si>
  <si>
    <t>CARGA MASIVA PARA SEGUIMIENTO</t>
  </si>
  <si>
    <t>SC_24.1</t>
  </si>
  <si>
    <t>Al presionar la opción de "Cargar información" en la región de acciones, el sistema muesta un cuadro de diálogo de selección de archivos.</t>
  </si>
  <si>
    <t>No se visualiza opción "Cargar Información"</t>
  </si>
  <si>
    <t>SC_24.2</t>
  </si>
  <si>
    <t>La extensión correcta debe ser .xlsx o .xls</t>
  </si>
  <si>
    <t>SC_24.3</t>
  </si>
  <si>
    <t>El tamaño del archivo no puede exceder los 10 MB</t>
  </si>
  <si>
    <t>SC_24.4</t>
  </si>
  <si>
    <t>La estructura del archivo (columnas) debe coincidir con la plantilla esperada.</t>
  </si>
  <si>
    <t>SC_24.5</t>
  </si>
  <si>
    <t>El sistema muestra las siguientes alertas:</t>
  </si>
  <si>
    <t>SC_25</t>
  </si>
  <si>
    <t>MANTENEDOR DE PLANTILLAS DE SEGUIMIENTO</t>
  </si>
  <si>
    <t>SC_25.1</t>
  </si>
  <si>
    <t>Usuario con rol administrador, tiene visible botón "Cargar Template Excel" en la pantalla de observaciones.</t>
  </si>
  <si>
    <t>VACIA</t>
  </si>
  <si>
    <t>SC_25.2</t>
  </si>
  <si>
    <t>Al presionar el botón, se abre un diálogo de selección de archivo Excel (.xlsx o .xls), y se puede cargar archivo Plantilla de seguimiento.</t>
  </si>
  <si>
    <t>SC_25.3</t>
  </si>
  <si>
    <t>El sistema valida el formato del archivo, tamaño máximo (10 MB) y la estructura de columnas (definidas en nueva plantilla descargable), debe coincidir con lo esperado.</t>
  </si>
  <si>
    <t>SC_25.4</t>
  </si>
  <si>
    <t>Si el archivo es validado por el sistema, se muestra un resumen de carga y se habilita el archivo para su posterior descarga.</t>
  </si>
  <si>
    <t>SC_25.5</t>
  </si>
  <si>
    <t>Si el sistema detecta que los datos son inválidos, se muestra error al cargar la plantilla.</t>
  </si>
  <si>
    <t>SC_25.6</t>
  </si>
  <si>
    <t>Al intentar cargar un archivo duplicado, se muestra alerta: “Ya existe un registro activo con estos datos”.</t>
  </si>
  <si>
    <t>SC_25.7</t>
  </si>
  <si>
    <t>Las alertas que muestra el sistema son:</t>
  </si>
  <si>
    <t>SC_26</t>
  </si>
  <si>
    <t>DESCARGA DE INFORMACIÓN EN EXCEL</t>
  </si>
  <si>
    <t>SC_26.1</t>
  </si>
  <si>
    <t>Al presionar el botón "Inventario seguimiento", de la región de acciones de la página de seguimiento, se muestra un diálogo de selección de archivo, en donde se puede buscar y seleccionar archivo Excel de plantilla.</t>
  </si>
  <si>
    <t>No se visualiza el botón "Inventario Seguimiento"</t>
  </si>
  <si>
    <t>SC_26.2</t>
  </si>
  <si>
    <t>Se puede descargar la información de la tabla.</t>
  </si>
  <si>
    <t>SC_27</t>
  </si>
  <si>
    <t>MANTENEDOR DE QUERY DE DESCARGA</t>
  </si>
  <si>
    <t>SC_27.1</t>
  </si>
  <si>
    <t>Al acceder al menú de Configuración&gt;Mantenedores, se muestra la página del mantenedor (sólo para rol de administrador).</t>
  </si>
  <si>
    <t>No se visualiza el mantenedor "Query de Descarga"</t>
  </si>
  <si>
    <t>SC_27.2</t>
  </si>
  <si>
    <t>El mantenedor permite gestionar los registros Agregar/Editar/Eliminar registros.</t>
  </si>
  <si>
    <t>SC_27.3</t>
  </si>
  <si>
    <t>Si se intenta guardar un registro duplicado, el sistema muestra un mensaje: “Ya existe un registro activo con estos datos”.</t>
  </si>
  <si>
    <t>SC_27.4</t>
  </si>
  <si>
    <t>SC_28</t>
  </si>
  <si>
    <t>CABECERA DE FORMULARIO DE CABECERA DE SEGUIMIENTO</t>
  </si>
  <si>
    <t>Sistema(Automático)</t>
  </si>
  <si>
    <t>SC_28.1</t>
  </si>
  <si>
    <t>Al ingresar al botón "Editar" de un modelo de la pestaña de seguimiento, se muestran los siguientes campos de cabecera:</t>
  </si>
  <si>
    <t>SC_29</t>
  </si>
  <si>
    <t>ENCABEZADO RESUMEN DEL MODELO EN SEGUIMIENTO</t>
  </si>
  <si>
    <t>GRM_DESA_EJECUTOR, GRM_DESA_APROBADOR, GRM_IMPLEM_EJECUTOR, GRM_IMPLEM_APROBADOR, GRM_RESPO_SEG_EJECUTOR, GRM_RESPO_SEG_APROBADOR, GRM_REVISOR, GRM_ADMINISTRADOR</t>
  </si>
  <si>
    <t>SC_29.1</t>
  </si>
  <si>
    <t>Al ingresar al Formulario de Seguimiento se visualiza un encabezado resumen del modelo:</t>
  </si>
  <si>
    <t>Los titulos estan, pero no se ven las fechas</t>
  </si>
  <si>
    <t>SC_29.2</t>
  </si>
  <si>
    <t>Al hacer clic en botón "Editar" en un modelo en Uso, se muestra modal con encabezado fijo descrito en SC_29_1. Se puede completar el formulario y tras presionar el botón guardar, se muestra alerta verde: "Operación realizada correctamente" y se refresca el formulario (se mantiene abierto para más registros)</t>
  </si>
  <si>
    <t>La funcionalidad no está operando correctamente:</t>
  </si>
  <si>
    <t>SC_30</t>
  </si>
  <si>
    <t>CAMPOS DEL FORMULARIO DE SEGUIMIENTO:</t>
  </si>
  <si>
    <t>SC_30.1</t>
  </si>
  <si>
    <t>al hacer clic en "Editar" en un modelo de la grilla Seguimiento, se abre formulario de seguimiento completo.</t>
  </si>
  <si>
    <t>SC_30.2</t>
  </si>
  <si>
    <t>El formulario de seguimiento muestra los siguientes campos:</t>
  </si>
  <si>
    <t>Al completar los campos obligatorios y presionar el botón guardar, se calcula la Calificación Final por fórmula del mantenedor y se muestra icono de alerta (rojo o verde dependeindo si registro se guarda corretamente o no)</t>
  </si>
  <si>
    <t>No se visualiza alerta</t>
  </si>
  <si>
    <t>SC_30.3</t>
  </si>
  <si>
    <t>Se respetan los roles especiales:</t>
  </si>
  <si>
    <t>SC_31</t>
  </si>
  <si>
    <t>ENVÍO A REVISIÓN POR RESPONSABLE</t>
  </si>
  <si>
    <t>GRM_RESPO_SEG_APROBADOR</t>
  </si>
  <si>
    <t>SC_31.1</t>
  </si>
  <si>
    <t>Aprobador abrir desde la grilla el formulario Seguimiento de un modelo, y tras completar/verificar los campos obligatorios, presionar botón "Enviar a revisión", el sistema:</t>
  </si>
  <si>
    <t>Botón "Enviar" no funciona</t>
  </si>
  <si>
    <t>SC_31.2</t>
  </si>
  <si>
    <t>Si un usuario tiene un rol diferente a GRM_RESPO_SEG_APROBADOR no puede tener visible el botón "Enviar a revisión"</t>
  </si>
  <si>
    <t>Revisor y Administrador ven el botón</t>
  </si>
  <si>
    <t>SC_32</t>
  </si>
  <si>
    <t>ALERTA DE FECHA DE CONTROL</t>
  </si>
  <si>
    <t>SC_32.1</t>
  </si>
  <si>
    <t>El sistema evalúa periódicamente las condiciones de alerta según la configuración establecida en los mantenedores. Cuando se cumplen las condiciones (por ejemplo, la fecha de próximo control sobrepasa la periodicidad), el sistema genera automáticamente la alerta correspondiente. El sistema envía un correo electrónico al destinatario configurado (Revisor, Responsable de Seguimiento) con los detalles de la alerta. El sistema registra el envío de la alerta en el log de auditoría para trazabilidad.</t>
  </si>
  <si>
    <t>SC_33</t>
  </si>
  <si>
    <t>ALERTA POST COMITÉ  (DESESTIMADA)</t>
  </si>
  <si>
    <t>SC_33.1</t>
  </si>
  <si>
    <t>DESESTIMADA</t>
  </si>
  <si>
    <t>SC_34</t>
  </si>
  <si>
    <t>MANTENEDOR DE GRUPOS Y PERIODICIDADES</t>
  </si>
  <si>
    <t>SC_34.1</t>
  </si>
  <si>
    <t>Al acceder al menú de configuración&gt;Mantenedores, se muestra la configuración para añadir grupos de familias y sus priodicidades, agregando los modelos que son presentados en instancias de Comité tecnico de Modelos.</t>
  </si>
  <si>
    <t>2026-06-04</t>
  </si>
  <si>
    <t>No se visualiza mantenedor Periodicidad Seguimiento</t>
  </si>
  <si>
    <t>SC_35</t>
  </si>
  <si>
    <t>CAMPOS ADICIONALES POR CALIFICACIÓN DE SEGUIMIENTO ALERTA</t>
  </si>
  <si>
    <t>SC_35.1</t>
  </si>
  <si>
    <t>Al ingresar al formulario de Seguimiento de un modelo, los siguientes campos (todos obligatorios) aparecen en el caso de que la calificación de seguimiento sea Alerta, en caso contrario permanecen ocultos:</t>
  </si>
  <si>
    <t>SC_35.2</t>
  </si>
  <si>
    <t>Es posible completar los campos obligatorios y guardar el formulario</t>
  </si>
  <si>
    <t>Al guardar:</t>
  </si>
  <si>
    <t>SC_36</t>
  </si>
  <si>
    <t>OPCIONES DE CALIFICACIÓN DE SEGUIMIENTO CON ALERTA</t>
  </si>
  <si>
    <t>SC_36.1</t>
  </si>
  <si>
    <t>En el formulario de Seguimiento de un modelo, en caso de que la conclusión sea Alerta, el campo Estado Interno, aumenta sus opciones de lista desplegable:</t>
  </si>
  <si>
    <t>No aumentan las opciones, siguen apareciendo por defecto "Cerrada" y "Próximo Seguimiento"</t>
  </si>
  <si>
    <t>SC_36.2</t>
  </si>
  <si>
    <t>Al seleccionar alguna de las opciones de Estado Interno y presionar Guardar, se guarda registro de la opción seleccionada.</t>
  </si>
  <si>
    <t>Depende de corrección SC_36.1</t>
  </si>
  <si>
    <t>SC_36.3</t>
  </si>
  <si>
    <t>El sistema monitorea las fechas automáticamente y cambia a "Atrasada" si alguna de las fechas está vencida.</t>
  </si>
  <si>
    <t>SC_37</t>
  </si>
  <si>
    <t>CALIFICACIÓN DE SEGUIMIENTO ALERTA FIJA PERMANENTE</t>
  </si>
  <si>
    <t>SC_37.1</t>
  </si>
  <si>
    <t>En caso de que se registre/edite la conclusión a "Alerta" por primera vez, el campo Calificación de Seguimiento queda fijado para siempre en Alerta (se bloquea la edición de este campo permanentemente), aunque se generen nuevos registros.</t>
  </si>
  <si>
    <t>06/08: dados los cambios del equipo de seguimiento y a falta de una definicion clara, se desestima la funcionalidad</t>
  </si>
  <si>
    <t>SC_37.2</t>
  </si>
  <si>
    <t>Si se genera la Alerta, debe aparecer un mensaje en la zona superiro de la Pestaña de Seguimiento de Modelos (Registro Seguimiento), informando todos los modelos relacionados a los cuales les afecta la descalibración. Esto se puede ver desde "Relacion de Modelos" en la etapa de desarrollo.</t>
  </si>
  <si>
    <t>SC_37.3</t>
  </si>
  <si>
    <t>En futuros registros del mismo modelo, el campo Calificación aparece pre-cargado y bloqueado como "Alerta" y usuario no puede cambiarlo.</t>
  </si>
  <si>
    <t>SC_38</t>
  </si>
  <si>
    <t>BOTÓN DE PRÓRROGA CON ALERTA</t>
  </si>
  <si>
    <t>SC_38.1</t>
  </si>
  <si>
    <t>Al ingresar al formulario de Seguimiento, que tenga la calificacion en "Alerta", el botón "Solicitar Prórroga" aparece activo (en caso de que la clasificación sea distinta, el botón aparece desactivado)</t>
  </si>
  <si>
    <t>SC_38.2</t>
  </si>
  <si>
    <t>Al hacer clic en "Solicitar Prórroga", el sistema abre modal simple con formulario "Prorroga", al completar el formulario y guardar, se crea Alerta.</t>
  </si>
  <si>
    <t>1. El formulario no se guarda</t>
  </si>
  <si>
    <t>SC_38.3</t>
  </si>
  <si>
    <t>Para poder crear la prórroga, el sistema valida los siguientes puntos:</t>
  </si>
  <si>
    <t>Depende de corrección SC_38.2</t>
  </si>
  <si>
    <t>SC_38.4</t>
  </si>
  <si>
    <t>SC_39</t>
  </si>
  <si>
    <t>ÍCONO DE ALERTA EN ROJO</t>
  </si>
  <si>
    <t>SC_39.1</t>
  </si>
  <si>
    <t>En el caso de ingresar/editar a formulario de seguimiento que tenga Calificación de Seguimiento en Alerta, se muestra ícono de "fuego" con color rojo.</t>
  </si>
  <si>
    <t>Depende de funcionalidad alerta que no está operativa</t>
  </si>
  <si>
    <t>SC_40</t>
  </si>
  <si>
    <t>COLUMNA CLASIFICACIÓN CON ÍCONO DE ALERTA</t>
  </si>
  <si>
    <t>Pueden visualizar GRM_DESA_EJECUTOR, GRM_DESA_APROBADOR, GRM_IMPLEM_EJECUTOR, GRM_IMPLEM_APROBADOR, GRM_RESPO_SEG_EJECUTOR, GRM_RESPO_SEG_APROBADOR, GRM_REVISOR, GRM_ADMINISTRADOR</t>
  </si>
  <si>
    <t>SC_40.1</t>
  </si>
  <si>
    <t>Al acceder a la pestaña Seguimiento, se visualiza grilla con clumna "Calificación", y en las filas con Calificación en estado "Alerta", aparece el ícono de alerta con color naranja/rojo (definido por mantenedor en SC_47).</t>
  </si>
  <si>
    <t>SC_40.2</t>
  </si>
  <si>
    <t>Al pasar el mouse por sobre el ícono, un tooltip muestra: "F.Alerta desde: [DD/MM/YYYY]"</t>
  </si>
  <si>
    <t>SC_40.3</t>
  </si>
  <si>
    <t>El ícono permanece visible en Todos los registros futuros del modelo, no desaparece.</t>
  </si>
  <si>
    <t>SC_41</t>
  </si>
  <si>
    <t>VENTANA DE SOLICITUDES DE PRÓRROGA</t>
  </si>
  <si>
    <t>Seguimiento y Control / Seguimiento / Prorroga</t>
  </si>
  <si>
    <t>SC_41.1</t>
  </si>
  <si>
    <t>Al presonar botón de “Solicitar Prórroga/Extensión” en el formulario, (sólo si modelo se encuentra en alerta), se despliega la ventana de solicitudes de Prorroga. Esta ventana muestra todas las solicitudes hechas e incluye un botón de Nueva Solicitud.</t>
  </si>
  <si>
    <t>No se visualiza listado de solicitudes de Prorroga</t>
  </si>
  <si>
    <t>SC_41.2</t>
  </si>
  <si>
    <t>Al hacer clic en "Nueva Solicitud", se puede completar con la justificación y plazo solicitado, además se puede adjuntar los documentos de soporte. Al presonar "Solicitar", el sistema registra la solicitud y envía esta a revisión.</t>
  </si>
  <si>
    <t>La funcionalidad no está operativa</t>
  </si>
  <si>
    <t>SC_42</t>
  </si>
  <si>
    <t>FORMULARIO DE PRÓRROGA</t>
  </si>
  <si>
    <t>visualizar</t>
  </si>
  <si>
    <t>SC_42.1</t>
  </si>
  <si>
    <t>Tras presionar botón “Solicitar Prórroga/Extensión” en el formulario y luego hacer clic en “Nueva Solicitud”, el formulario contiene los siguientes campos:</t>
  </si>
  <si>
    <t>2026-06-09</t>
  </si>
  <si>
    <t>- Id Prorroga: Aparece vacío</t>
  </si>
  <si>
    <t>SC_42.2</t>
  </si>
  <si>
    <t>Tras presionar “Solicitar”, el sistema registra la solicitud y envía a revisión.</t>
  </si>
  <si>
    <t>- Los botones no realizan ninguna acción</t>
  </si>
  <si>
    <t>SC_43</t>
  </si>
  <si>
    <t>GRILLA Y BOTÓN NUEVO FES</t>
  </si>
  <si>
    <t>Seguimiento y Control / Seguimiento / FES</t>
  </si>
  <si>
    <t>SC_43.1</t>
  </si>
  <si>
    <t>Al ingresar a la pestaña Formulario de Excepción (FES), se muestra la grilla de FES existentes y botón "Nuevo FES" para crear uno nuevo.</t>
  </si>
  <si>
    <t>SC_43.2</t>
  </si>
  <si>
    <t>La grilla de FES muestra los siguientes campos:</t>
  </si>
  <si>
    <t>- ID FEV: En la grilla se muestra como "Id Sol Excepción"</t>
  </si>
  <si>
    <t>SC_44</t>
  </si>
  <si>
    <t>FORMULARIO FES CON DIFERENCIAS</t>
  </si>
  <si>
    <t>SC_44.1</t>
  </si>
  <si>
    <t>Tras presionar el botón "Nuevo FES", se puede llenar el formulario, el cual presenta los siguientes campos:</t>
  </si>
  <si>
    <t>- Campos de input de Texto no son editables</t>
  </si>
  <si>
    <t>SC_44.2</t>
  </si>
  <si>
    <t>Al completar las secciones del formulario, y presionar "Enviar a Revisión", el sistema registra el formulario y avanza en el flujo.</t>
  </si>
  <si>
    <t>Depende de corrección SC_44.1</t>
  </si>
  <si>
    <t>SC_44.3</t>
  </si>
  <si>
    <t>SC_45</t>
  </si>
  <si>
    <t>DESCARGA DE DOCUMENTO FES</t>
  </si>
  <si>
    <t>SC_45.1</t>
  </si>
  <si>
    <t>Al existir un FES con estado Finalizado, se muestra un botón "Descargar Documento FES" en la región de acciones.</t>
  </si>
  <si>
    <t>SC_45.2</t>
  </si>
  <si>
    <t>Al presionar el botón de descargar, se puede seleccionar el formato deseado de descarga (HTML o PDF), luego el sistema genera el documento y se descarga.</t>
  </si>
  <si>
    <t>SC_45.3</t>
  </si>
  <si>
    <t>El sistema registra la descarga en los logs de auditoría.</t>
  </si>
  <si>
    <t>SC_45.4</t>
  </si>
  <si>
    <t>El sistema sólo permite visulización del módulo a usuarios con permisos (GRM_REVISOR, GRM_ADMINISTRADOR )</t>
  </si>
  <si>
    <t>SC_45.5</t>
  </si>
  <si>
    <t>El sistema muestra las siguientes alertas:}</t>
  </si>
  <si>
    <t>SC_46</t>
  </si>
  <si>
    <t>FLUJO DEL FORMULARIO FES</t>
  </si>
  <si>
    <t>SC_46.1</t>
  </si>
  <si>
    <t>El formulario FES está implementado replicando la arquitectura del flujo FEV existente, manteniendo exacta compatibilidad con las siguientes etapas secuenciales:</t>
  </si>
  <si>
    <t>SC_47</t>
  </si>
  <si>
    <t>MANTENEDOR COLUMNA CLASIFICACIÓN CON ÍCONO DE ALERTA</t>
  </si>
  <si>
    <t>SC_47.1</t>
  </si>
  <si>
    <t>Un usuario con rol GRM_ADMINISTRADOR al acceder al mantenedor de la columna Calificación, puede ver la configuración visual asociada a la columna, incluyendo ícono, estilo, color y comportamiento tooltip definido para estado de alerta.</t>
  </si>
  <si>
    <t>No se visualiza el mantenedor "Calificación"</t>
  </si>
  <si>
    <t>SC_47.2</t>
  </si>
  <si>
    <t>Se puede editar acciones y agregar nuevas Calificaciones y el sistema aplica la personalización en la grilla de Registros de Seguimiento y muestra el ícono de alerta en los modelos cuya clasificación corresponda.</t>
  </si>
  <si>
    <t>Depende de corrección SC_47.1</t>
  </si>
  <si>
    <t>SC_47.3</t>
  </si>
  <si>
    <t>Gobierno</t>
  </si>
  <si>
    <t>G_1</t>
  </si>
  <si>
    <t>Alta</t>
  </si>
  <si>
    <t>CREACIÓN DEL MÓDULO INFORMACIÓN DE GOBIERNO:</t>
  </si>
  <si>
    <t>GRM_SECR_COMITE, GRM_REVISOR, GRM_ADMINISTRADOR</t>
  </si>
  <si>
    <t>G_1.1</t>
  </si>
  <si>
    <t>Dentro del menú principal de la aplicación GRM, se visualiza la opción "Información de Gobierno" solo para usuarios con roles autorizados</t>
  </si>
  <si>
    <t>2026-06-05</t>
  </si>
  <si>
    <t>Se debe generar el nuevo módulo “Información de Gobierno”, sólo visibles para secretarios de comité, revisores y administrador</t>
  </si>
  <si>
    <t>G_1.2</t>
  </si>
  <si>
    <t>El usuario autorizado, una vez dentro del módulo, visualiza 3 secciones de información:</t>
  </si>
  <si>
    <t>G_2</t>
  </si>
  <si>
    <t>Media</t>
  </si>
  <si>
    <t>PANTALLA DE ASOCIACIÓN DE MODELOS A COMITÉ:</t>
  </si>
  <si>
    <t>Gobierno / Secretario de Comité / buscar</t>
  </si>
  <si>
    <t>G_2.1</t>
  </si>
  <si>
    <t>El sistema muestra la pantalla de búsqueda de comités con los campos:</t>
  </si>
  <si>
    <t>2026-06-08</t>
  </si>
  <si>
    <t>G_2.2</t>
  </si>
  <si>
    <t>Al seleccionar una Instancia y una Fecha válida y ejecutar la búsqueda, el sistema presenta los registros de gobierno existentes con la siguiente información:</t>
  </si>
  <si>
    <t>G_2.3</t>
  </si>
  <si>
    <t>Si la búsqueda no retorna resultados, el sistema muestra la alerta: "No existen registros para el comité y fecha seleccionados. ¿Desea crear uno nuevo?". Si el usuario selecciona “Sí”, el sistema crea el comité mediante la lógica de negocio, actualiza el identificador y refresca la pantalla mostrando los modelos asociados.</t>
  </si>
  <si>
    <t>06/08: El problema persiste</t>
  </si>
  <si>
    <t>G_2.4</t>
  </si>
  <si>
    <t>El botón Acta permanece deshabilitado mientras no exista un comité asociado a la combinación Instancia + Fecha</t>
  </si>
  <si>
    <t>G_2.5</t>
  </si>
  <si>
    <t>Una vez que existe un comité (resultado de búsqueda o creación), el botón Acta se habilita y permite navegar correctamente al módulo de carga/gestión de documentos, traspasando el identificador del comité (P_GOBIERNO_ID).</t>
  </si>
  <si>
    <t>Postergado para Documentación Caso de prueba D_1.1</t>
  </si>
  <si>
    <t>G_3</t>
  </si>
  <si>
    <t>CAMPOS PARA MODELOS RELACIONADOS AL ACTA:</t>
  </si>
  <si>
    <t>Gobierno / Secretario de Comité / Nuevo</t>
  </si>
  <si>
    <t>GRM_SECR_COMITE, GRM_REVISOR</t>
  </si>
  <si>
    <t>G_3.1</t>
  </si>
  <si>
    <t>El usuario puede seleccionar uno o múltiples modelos mediante el componente de selección. El sistema permite asociar los modelos al acta por medio del botón "Agregar". En caso de intentar asociar un modelo que ya se encuentra relacionado, el sistema muestra una alerta o advertencia indicando la situación.</t>
  </si>
  <si>
    <t>G_3.2</t>
  </si>
  <si>
    <t>El campo Excepción de Lineamiento carga valores desde el mantenedor correspondiente. Cuando es obligatorio, el sistema valida su ingreso y, en caso de estar vacío al intentar grabar o enviar, muestra la alerta: "Complete todos los campos obligatorios antes de continuar".</t>
  </si>
  <si>
    <t>2026-07-15</t>
  </si>
  <si>
    <t>16-jun: Se acuerda eliminar la opción de seleccionar "vacío"</t>
  </si>
  <si>
    <t>G_3.3</t>
  </si>
  <si>
    <t>Al presionar “Enviar a Revisión” con información válida, el sistema muestra la alerta de confirmación: "¿Está seguro de enviar a revisión? Esta acción no se puede deshacer". Si el usuario confirma, el sistema ejecuta el cambio de estado correspondiente.</t>
  </si>
  <si>
    <t>16-jun: Opera en registro de información. Se desestima</t>
  </si>
  <si>
    <t>G_4</t>
  </si>
  <si>
    <t>NOTIFICACIÓN AL REVISOR:</t>
  </si>
  <si>
    <t>Sistema (Automatico)</t>
  </si>
  <si>
    <t>G_4.1</t>
  </si>
  <si>
    <t>Al presionar el botón “Enviar a Revisión”, el sistema valida que el acta cumpla con las condiciones definidas: existencia de modelos asociados y completitud de los datos del acta. Si las validaciones fallan, el sistema muestra la alerta: "El acta no puede enviarse a revisión. Verifique que todos los campos estén completos".</t>
  </si>
  <si>
    <t>2026-06-11</t>
  </si>
  <si>
    <t>HU Reformulada</t>
  </si>
  <si>
    <t>G_4.2</t>
  </si>
  <si>
    <t>Si el acta se encuentra en estado distinto de "Borrador" o "En Corrección", el sistema no permite el envío a revisión y muestra la alerta: "El acta no puede enviarse a revisión. Verifique que todos los campos estén completos".</t>
  </si>
  <si>
    <t>G_4.3</t>
  </si>
  <si>
    <t>Al presionar el botón “Enviar a Revisión” con el acta válida, el sistema muestra la alerta de confirmación: "¿Está seguro de enviar a revisión? Esta acción no se puede deshacer".</t>
  </si>
  <si>
    <t>G_4.4</t>
  </si>
  <si>
    <t>Al confirmar el envío, el sistema realiza las siguientes acciones: cambia el estado del acta a "Pendiente de Revisión", registra el evento en el historial y genera una notificación para los usuarios con rol GRM_REVISOR.</t>
  </si>
  <si>
    <t>G_4.5</t>
  </si>
  <si>
    <t>La notificación generada debe estar disponible en el sistema (campanita APEX) y contener la información definida: fecha del comité, nombre de la instancia, lista resumida de modelos asociados y enlace al registro correspondiente.</t>
  </si>
  <si>
    <t>G_4.6</t>
  </si>
  <si>
    <t>En el caso de que no existan modelos asociados al acta, el sistema muestra una advertencia antes de continuar con el proceso de envío, según lo definido en los flujos alternativos.</t>
  </si>
  <si>
    <t>G_5</t>
  </si>
  <si>
    <t>BOTÓN REPARAR PARA REVISORES:</t>
  </si>
  <si>
    <t>Gobierno / Revisor / Reparar</t>
  </si>
  <si>
    <t>Sistema (Automatico), GRM_REVISOR, GRM_ADMINISTRADOR</t>
  </si>
  <si>
    <t>G_5.1</t>
  </si>
  <si>
    <t>El botón "Reparar" es visible únicamente para usuarios con rol GRM_REVISOR. Usuarios con otros roles no visualizan el botón en la interfaz.</t>
  </si>
  <si>
    <t>G_5.2</t>
  </si>
  <si>
    <t>Al presionar el botón "Reparar", el sistema despliega un modal que contiene los campos:</t>
  </si>
  <si>
    <t>G_5.4</t>
  </si>
  <si>
    <t>Al completar el formulario y confirmar la acción, el sistema muestra la alerta: "¿Está seguro de devolver esta acta para corrección? Esta acción será registrada en el historial".</t>
  </si>
  <si>
    <t>G_5.5</t>
  </si>
  <si>
    <t>Al confirmar la acción de reparación, el sistema inserta el registro de corrección, cambia el estado del acta a "EN_CORRECCION", registra el evento en el historial y genera una notificación dirigida al rol GRM_SECR_COMITE.</t>
  </si>
  <si>
    <t>G_6</t>
  </si>
  <si>
    <t>PRECARGA DE MODELOS EN REGISTROS ENCONTRADOS:</t>
  </si>
  <si>
    <t>Gobierno / Secretario de Comité / registros encontrados</t>
  </si>
  <si>
    <t>G_6.1</t>
  </si>
  <si>
    <t>Al seleccionar una instancia de comité y una fecha con registros existentes, el sistema precarga automáticamente la información del acta incluyendo:</t>
  </si>
  <si>
    <t>G_6.2</t>
  </si>
  <si>
    <t>El sistema permite la edición de los datos precargados según el rol del usuario: el Secretario de Comité puede editar los campos disponibles y el Revisor puede editar, agregar o quitar modelos. El estado del acta se presenta como solo lectura.</t>
  </si>
  <si>
    <t>El Secretario Comité puede eliminar Modelos</t>
  </si>
  <si>
    <t>G_6.3</t>
  </si>
  <si>
    <t>Si el registro se encuentra en estado no editable (por ejemplo en revisión o equivalente), el sistema muestra los campos en modo solo lectura, impidiendo modificaciones. Asimismo, si el usuario no tiene permisos de edición, se restringe la modificación de los datos.</t>
  </si>
  <si>
    <t>17-jun: Funcionalidad reciclada del sistema actual pero que debe confirmarse una vez integrado con Azure AD</t>
  </si>
  <si>
    <t>G_6.4</t>
  </si>
  <si>
    <t>El sistema permite gestionar los modelos asociados: agregar nuevos modelos validando que no existan duplicados, y eliminar modelos previamente asociados. Al eliminar un modelo, el sistema muestra la alerta: "¿Está seguro de quitar este modelo? Se eliminará la asociación" y, al confirmar, actualiza la relación correspondiente en la base de datos.</t>
  </si>
  <si>
    <t>G_7</t>
  </si>
  <si>
    <t>CARGA DE DOCUMENTOS CON PERMISOS:</t>
  </si>
  <si>
    <t>G_7.1</t>
  </si>
  <si>
    <t>Al presionar el botón Acta, el sistema abre la funcionalidad transversal de carga de documentos, permitiendo seleccionar un archivo, configurar permisos mediante el campo correspondiente y asociar el documento al acta en curso.</t>
  </si>
  <si>
    <t>G_7.2</t>
  </si>
  <si>
    <t>El sistema permite definir los permisos de visualización del documento seleccionando roles en el campo correspondiente, validando que se seleccione al menos un rol. Independiente de la configuración, los roles GRM_REVISOR y GRM_ADMINISTRADOR siempre tienen acceso, mostrando la alerta: "El revisor y administrador siempre tendrán acceso a este documento".</t>
  </si>
  <si>
    <t>Postergado para Documentación Caso de prueba D_2.2</t>
  </si>
  <si>
    <t>G_7.3</t>
  </si>
  <si>
    <t>El sistema valida la carga del documento considerando formatos permitidos (PDF, DOCX, XLSX) y tamaño máximo configurado (Configurable en el sistema). En caso de incumplimiento, el sistema muestra la alerta: "Error al cargar el documento. Formato no válido o tamaño excedido".</t>
  </si>
  <si>
    <t>Permite cargar otros formatos de Documento, por ejemplo .txt</t>
  </si>
  <si>
    <t>G_7.4</t>
  </si>
  <si>
    <t>Si el documento ya existe para el acta, el sistema solicita confirmación mediante la alerta: "¿Desea reemplazar el documento existente?", permitiendo al usuario decidir si reemplaza o conserva el documento actual.</t>
  </si>
  <si>
    <t>G_7.5</t>
  </si>
  <si>
    <t>Al cargar correctamente el documento con los permisos configurados, el sistema guarda la información, asocia el documento al acta y muestra la alerta: "Documento cargado exitosamente con los permisos configurados".</t>
  </si>
  <si>
    <t>G_8</t>
  </si>
  <si>
    <t>Baja</t>
  </si>
  <si>
    <t>PERMISOS DE EDICIÓN DEL REVISOR:</t>
  </si>
  <si>
    <t>Gobierno / Revisor</t>
  </si>
  <si>
    <t>G_8.1</t>
  </si>
  <si>
    <t>El sistema permite la edición de los datos del acta únicamente a usuarios con rol GRM_SECR_COMITE, GRM_REVISOR o GRM_ADMINISTRADOR, validando el esquema de autorización correspondiente. En caso de no contar con permisos, el sistema bloquea la acción y muestra la alerta: "No tiene permisos para realizar esta acción"</t>
  </si>
  <si>
    <t>21/07: todos los usuarios pueden cargar y actualizar el acta de los modelos</t>
  </si>
  <si>
    <t>2026-07-14</t>
  </si>
  <si>
    <t>G_8.2</t>
  </si>
  <si>
    <t>El sistema permite la edición solo cuando el acta se encuentra en un estado válido. Si el acta está en estado "Aceptada" o "Cerrada", el sistema no permite modificaciones, mostrando un mensaje o alerta indicando la restricción.</t>
  </si>
  <si>
    <t>17-jun: Desestimada con nuevos ajustes</t>
  </si>
  <si>
    <t>G_8.3</t>
  </si>
  <si>
    <t>El revisor puede gestionar modelos asociados, incluyendo la opción de agregar o quitar modelos según lo definido en la funcionalidad.</t>
  </si>
  <si>
    <t>G_8.4</t>
  </si>
  <si>
    <t>El sistema permite la eliminación de registros o modelos asociados. Antes de eliminar, el sistema solicita confirmación mediante la alerta: "¿Está seguro de eliminar este registro? Esta acción no se puede deshacer y será auditada" o, en el caso de modelos, la alerta: "¿Está seguro de quitar este modelo? Se eliminará la asociación". Al confirmar, el sistema ejecuta la eliminación correspondiente.</t>
  </si>
  <si>
    <t>G_9</t>
  </si>
  <si>
    <t>REGISTRO DE INFORMACIÓN ACEPTADA:</t>
  </si>
  <si>
    <t>Gobierno / Revisor / Aceptar</t>
  </si>
  <si>
    <t>G_9.1</t>
  </si>
  <si>
    <t>El sistema permite ejecutar la acción de aceptar el acta solo a usuarios con rol GRM_REVISOR o GRM_ADMINISTRADOR, validando además que el acta se encuentre en estado "Revisión" y que los campos obligatorios del acta estén completos, incluyendo la existencia de modelos asociados. En caso de incumplimiento, el sistema muestra la alerta: "No se puede aceptar el acta. Verifique que todos los campos estén completos".</t>
  </si>
  <si>
    <t>G_9.2</t>
  </si>
  <si>
    <t>Al presionar el botón "Aceptar" con información válida, el sistema muestra la alerta de confirmación: "¿Está seguro de aceptar esta acta? Esta acción es irreversible y actualizará el ciclo de vida de los modelos", previo a ejecutar la operación.</t>
  </si>
  <si>
    <t>G_9.3</t>
  </si>
  <si>
    <t>Al confirmar la acción, el sistema ejecuta el proceso de aceptación de forma transaccional, registrando la información en la base de datos, actualizando el estado del acta a "Aprobada", registrando los datos de auditoría y aplicando las actualizaciones correspondientes sobre los modelos asociados.</t>
  </si>
  <si>
    <t>G_9.4</t>
  </si>
  <si>
    <t>Durante el proceso de aceptación, el sistema informa al usuario la cantidad de modelos afectados mediante la alerta: "X modelos serán actualizados con la marca de gobierno completado", reflejando el impacto en los modelos asociados.</t>
  </si>
  <si>
    <t>G_10</t>
  </si>
  <si>
    <t>FINALIZACIÓN DE ETAPA DE GOBIERNO EN CICLO DE VIDA:</t>
  </si>
  <si>
    <t>Gobierno / Revisor / Aceptar / Ciclo de Vida</t>
  </si>
  <si>
    <t>G_10.1</t>
  </si>
  <si>
    <t>Posterior a la aceptación de un acta, el sistema ejecuta automáticamente el proceso de actualización del ciclo de vida de los modelos asociados, validando que la etapa de Gobierno se encuentre activada. Para los modelos que cumplen la condición, se actualiza el indicador correspondiente y se registra la fecha de completitud.</t>
  </si>
  <si>
    <t>G_10.2</t>
  </si>
  <si>
    <t>Para los modelos actualizados correctamente, el sistema muestra en el ciclo de vida el indicador visual correspondiente (tic verde), permitiendo además consultar el historial de gobiernos asociado al modelo.</t>
  </si>
  <si>
    <t>G_10.3</t>
  </si>
  <si>
    <t>El sistema valida condiciones para la actualización de modelos: existencia de registro en ciclo de vida, que la etapa no esté previamente completada y que la configuración del modelo permita la aplicación de gobierno. En caso de configuraciones especiales, el sistema muestra la alerta: "X modelos fueron omitidos por tener configuración especial (gobierno no requerido)".</t>
  </si>
  <si>
    <t>G_10.4</t>
  </si>
  <si>
    <t>Si la etapa de Gobierno no se encuentra activada en el sistema, el sistema no realiza la actualización para los modelos afectados y muestra la alerta: "Algunos modelos no pudieron ser actualizados porque la etapa de gobierno no está activada", registrando el evento correspondiente.</t>
  </si>
  <si>
    <t>G_10.5</t>
  </si>
  <si>
    <t>Finalizado el proceso de actualización, el sistema informa el resultado mediante la alerta: "Etapa de Gobierno finalizada exitosamente para X modelos". En caso de error durante el proceso, el sistema muestra la alerta: "Error al actualizar el ciclo de vida de algunos modelos. Verifique el log de errores" y mantiene la consistencia de la información.</t>
  </si>
  <si>
    <t>G_11_RI_48</t>
  </si>
  <si>
    <t>REASIGNACIÓN ORIGEN BOTÓN INGRESAR INFORMACIÓN INVENTARIO:</t>
  </si>
  <si>
    <t>G_11_RI_48.1</t>
  </si>
  <si>
    <t>Desde el módulo Registro de Información, al seleccionar el botón "Ingresar Información Inventario", el sistema redirige correctamente a la nueva funcionalidad de Gobierno, permitiendo al usuario acceder y visualizar la interfaz correspondiente.</t>
  </si>
  <si>
    <t>No redirige a la funcionalidad de Gobierno, muestra la funcionalidad original</t>
  </si>
  <si>
    <t>G_11_RI_48.2</t>
  </si>
  <si>
    <t>Una vez redirigido a la nueva funcionalidad de Gobierno, el usuario puede interactuar con el formulario, ingresar información y guardar los datos correctamente dentro del flujo definido.</t>
  </si>
  <si>
    <t>MOSTRAR LOS GOBIERNOS POR LO QUE HA ESTADO EL MODELO (GLOBO DE GOBIERNO EN EL CICLO DE VIDA):</t>
  </si>
  <si>
    <t>GRM_VALIDADOR_EJECUTOR, GRM_VALIDADOR_APROBADOR, GRM_SECR_COMITE, GRM_REVISOR, GRM_ADMINISTRADOR</t>
  </si>
  <si>
    <t>G_12_ RI_49.1</t>
  </si>
  <si>
    <t>Al navegar al módulo Registrar Información y presionar el globo de Gobierno en el ciclo de vida del modelo, el sistema muestra la lista de gobiernos asociados al modelo.</t>
  </si>
  <si>
    <t>G_12_ RI_49.2</t>
  </si>
  <si>
    <t>El sistema despliega correctamente la información de los gobiernos asociados, incluyendo los campos: Instancia, Tipo (Desarrollo/Implementación), Fecha, Botón Acta y Excepción de Lineamiento (Sí/No), de acuerdo con los registros existentes.</t>
  </si>
  <si>
    <t>G_12_ RI_49.3</t>
  </si>
  <si>
    <t>El usuario puede consultar el detalle de cada gobierno y acceder al acta correspondiente mediante el botón Acta, siempre que exista disponibilidad del documento.</t>
  </si>
  <si>
    <t>G_13</t>
  </si>
  <si>
    <t>VISUALIZAR CAMBIOS EN TABLA T_PPAL</t>
  </si>
  <si>
    <t>GRM_Revisor,  GRM_ADMINISTRADOR</t>
  </si>
  <si>
    <t>G_13.1</t>
  </si>
  <si>
    <t>Cuando el modelo tiene registros asociados a comité, el sistema actualiza la vista T_PPAL reflejando los cambios del módulo de Gobierno, mostrando la información actualizada del modelo en la grilla principal.</t>
  </si>
  <si>
    <t>06/08: No es posible descargar la tabla T_GOB_INS</t>
  </si>
  <si>
    <t>Control ERM</t>
  </si>
  <si>
    <t>ERM_1</t>
  </si>
  <si>
    <t>IMPLEMENTACIÓN DEL MÓDULO CONTROL ERM:</t>
  </si>
  <si>
    <t>ERM_1.1</t>
  </si>
  <si>
    <t>Acceso y navegación: Usuario accede al nuevo módulo desde el menú principal y visualiza el módulo Control ERM</t>
  </si>
  <si>
    <t>Se debe agregar el nuevo modulo de Control ERM</t>
  </si>
  <si>
    <t>ERM_1.2</t>
  </si>
  <si>
    <t>Permisos por rol: GRM_REVISOR y  GRM_ADMINISTRADOR pueden ver y editar</t>
  </si>
  <si>
    <t>ERM_1.3</t>
  </si>
  <si>
    <t>Visualización: Al acceder al módulo, el usuario puede ver las siguientes secciones de información:</t>
  </si>
  <si>
    <t>ERM_2</t>
  </si>
  <si>
    <t>COLUMNA DE JUSTIFICACIÓN EN GRUPOS DE EXPOSICIÓN:</t>
  </si>
  <si>
    <t>ERM_2.1</t>
  </si>
  <si>
    <t>Desestimada</t>
  </si>
  <si>
    <t>ERM_3</t>
  </si>
  <si>
    <t>CAMPO ANÁLISIS MÉTRICA EXPOSICIÓN:</t>
  </si>
  <si>
    <t>ERM_3.1</t>
  </si>
  <si>
    <t>Acceso y visualización: Usuario accede al módulo y visualiza el campo "Análisis Métrica Exposición"</t>
  </si>
  <si>
    <t>Agregar Campo de Análisis Métrica Exposición que debe precargarse del formulario de desarrollo, esto debe poder ser editable por el Revisor.</t>
  </si>
  <si>
    <t>ERM_3.2</t>
  </si>
  <si>
    <t>Permisos por rol: GRM_REVISOR y GRM_ADMINISTRADOR pueden editar; GRM_USUARIO solo visualiza</t>
  </si>
  <si>
    <t>ERM_3.3</t>
  </si>
  <si>
    <t>Precarga automática: El sistema precarga correctamente el valor del campo desde el formulario de Desarrollo</t>
  </si>
  <si>
    <t>ERM_3.4</t>
  </si>
  <si>
    <t>Edición del campo: GRM_REVISOR puede modificar el valor precargado</t>
  </si>
  <si>
    <t>ERM_4</t>
  </si>
  <si>
    <t>CAMPO EQUIPAMIENTO:</t>
  </si>
  <si>
    <t>ERM_4.1</t>
  </si>
  <si>
    <t>Acceso y visualización: Usuario accede al módulo y visualiza la sección "Actualizar Equipamiento"</t>
  </si>
  <si>
    <t>Agregar Campo Bases de Exposición que debe precargarse del formulario de desarrollo, esto debe poder ser editable por el Revisor.</t>
  </si>
  <si>
    <t>ERM_4.2</t>
  </si>
  <si>
    <t>Permisos por rol: GRM_REVISOR y GRM_ADMINISTRADOR pueden editar, no incorporar nuevos equipamientos; GRM_USUARIO solo visualiza</t>
  </si>
  <si>
    <t>ERM_4.3</t>
  </si>
  <si>
    <t>Precarga automática: El sistema precarga correctamente el valor desde el formulario de Desarrollo</t>
  </si>
  <si>
    <t>ERM_5</t>
  </si>
  <si>
    <t>MATRIZ DE CLASIFICACIÓN DE RIESGO DE MODELO (AJUSTABLE):</t>
  </si>
  <si>
    <t>ERM_5.1</t>
  </si>
  <si>
    <t>Acceso y visualización: Usuario accede al submenú "Matriz Evaluación Riesgo" y visualiza una grilla con la siguiente información:</t>
  </si>
  <si>
    <t>2026-06-15</t>
  </si>
  <si>
    <t>ERM_5.2</t>
  </si>
  <si>
    <t>Permisos por rol: GRM_REVISOR puede editar valores de celdas; GRM_ADMINISTRADOR puede además ajustar configuración (tamaño); Otros Usuarios no pueden editar</t>
  </si>
  <si>
    <t>ERM_5.3</t>
  </si>
  <si>
    <t>Edición de matriz: Al presionar el botón "Gestionar Valores Matriz", los usuarios con permisos pueden Agregar/Modificar los siguientes campos:</t>
  </si>
  <si>
    <t>ERM_5.4</t>
  </si>
  <si>
    <t>Redimensión de matriz: Desde el Submenú "Rangos Evaluación Riesgo", el Administrador modifica tamaño (ej. 3x3 a 4x4); el sistema conserva datos válidos dentro del rango y gestiona correctamente nuevas celdas</t>
  </si>
  <si>
    <t>2026-06-24</t>
  </si>
  <si>
    <t>No se esta produciendo la validación de los campos al agregar una nueva clasificación de riesgo (ver evidencia)</t>
  </si>
  <si>
    <t>15-jun (NOK - ALTA)</t>
  </si>
  <si>
    <t>ERM_5.5</t>
  </si>
  <si>
    <t>Guardado, impacto y trazabilidad: Al guardar los cambios, se muestra confirmación de impacto global y se aplica a todos los modelos</t>
  </si>
  <si>
    <t>No muestra la confirmación de impacto global</t>
  </si>
  <si>
    <t>15-jun (BLOQUEADO PARA EJECUTAR)</t>
  </si>
  <si>
    <t>ERM_6</t>
  </si>
  <si>
    <t>MATRIZ DE CLASIFICACIÓN DE MATERIALIDAD (AJUSTABLE):</t>
  </si>
  <si>
    <t>ERM_6.1</t>
  </si>
  <si>
    <t>ERM_6.2</t>
  </si>
  <si>
    <t>ERM_6.3</t>
  </si>
  <si>
    <t>19/06: Se esta modificando la clasificacion de la criticidad de uso de los modelos, al modificar los valores de parametros de la ERM</t>
  </si>
  <si>
    <t>ERM_6.4</t>
  </si>
  <si>
    <t>ok</t>
  </si>
  <si>
    <t>ERM_6.5</t>
  </si>
  <si>
    <t>No es posible generar una nueva clasificación dado el error ERM_5.4</t>
  </si>
  <si>
    <t>ERM_7</t>
  </si>
  <si>
    <t>FÓRMULA CÁLCULO INCERTIDUMBRE TOTAL (MANTENEDOR):</t>
  </si>
  <si>
    <t>ERM_7.1</t>
  </si>
  <si>
    <t>Acceso y visualización: Usuario accede al módulo de "Administración" -&gt; "Fórmulas Generales" -&gt; "INCERTIDUMBRE_MODELO" y visualiza la fórmula de incertidumbre total junto a sus variables disponibles</t>
  </si>
  <si>
    <t>ERM_7.2</t>
  </si>
  <si>
    <t>Permisos por rol: GRM_ADMINISTRADOR puede editar la fórmula</t>
  </si>
  <si>
    <t>ERM_7.3</t>
  </si>
  <si>
    <t>Configuración de variables: Administrador define variables permitidas (ej. INC_VALIDACION, INC_MONITOREO) y estas quedan disponibles para uso en la fórmula</t>
  </si>
  <si>
    <t>ERM_7.5</t>
  </si>
  <si>
    <t>Validaciones de fórmula: El sistema valida sintaxis, existencia de variables y estructura antes de guardar; ante error muestra mensaje y no permite persistencia</t>
  </si>
  <si>
    <t>ERM_7.6</t>
  </si>
  <si>
    <t>ERM_8</t>
  </si>
  <si>
    <t>INTERVALOS DE CLASIFICACIÓN DE INCERTIDUMBRE TOTAL:</t>
  </si>
  <si>
    <t>ERM_8.1</t>
  </si>
  <si>
    <t>Acceso y visualización: Usuario accede al módulo de "Administración" -&gt; "Fórmulas Generales" -&gt; "NIVEL_INCERTIDUMBRE_MODELO" y visualiza la fórmula de incertidumbre total junto a sus variables disponibles</t>
  </si>
  <si>
    <t>ERM_8.2</t>
  </si>
  <si>
    <t>ERM_8.3</t>
  </si>
  <si>
    <t>Edición de intervalos: Usuario modifica valores de VALOR_MIN, VALOR_MAX y nivel de clasificación, reflejándose correctamente en la interfaz</t>
  </si>
  <si>
    <t>Se requiere explicación del funcionamiento ya que la modificación de los valores no genera efecto en los valores MIN y MAX</t>
  </si>
  <si>
    <t>ERM_8.4</t>
  </si>
  <si>
    <t>Validaciones de rangos: El sistema valida que VALOR_MIN &lt; VALOR_MAX y que los intervalos no se superponen, impidiendo configuraciones inválidas</t>
  </si>
  <si>
    <t>ERM_8.5</t>
  </si>
  <si>
    <t>ERM_9</t>
  </si>
  <si>
    <t>FÓRMULA CÁLCULO INCERTIDUMBRE DE VALIDACIÓN:</t>
  </si>
  <si>
    <t>ERM_9.1</t>
  </si>
  <si>
    <t>Acceso y visualización: Usuario accede al módulo de "Administración" -&gt; "Fórmulas Generales" -&gt; "INCERTIDUMBRE_VALIDACION" y visualiza la fórmula de incertidumbre total junto a sus variables disponibles</t>
  </si>
  <si>
    <t>ERM_9.2</t>
  </si>
  <si>
    <t>ERM_9.3</t>
  </si>
  <si>
    <t>Edición de fórmula: Revisor modifica la fórmula utilizando variables disponibles (ej. NOTA_DESARROLLO, OBS_GRAVEDAD, CALIFICACIONES_AJUSTADAS)</t>
  </si>
  <si>
    <t>ERM_9.4</t>
  </si>
  <si>
    <t>Validaciones: El sistema valida sintaxis de la fórmula, existencia de variables y coherencia matemática (ej. divisiones, funciones), impidiendo guardar fórmulas inválidas</t>
  </si>
  <si>
    <t>ERM_9.5</t>
  </si>
  <si>
    <t>ERM_10</t>
  </si>
  <si>
    <t>FÓRMULA CÁLCULO INCERTIDUMBRE DE MONITOREO:</t>
  </si>
  <si>
    <t>ERM_10.1</t>
  </si>
  <si>
    <t>Acceso y visualización: Usuario accede al módulo de "Administración" -&gt; "Fórmulas Generales" -&gt; "INCERTIDUMBRE_MONITOREO" y visualiza la fórmula de incertidumbre total junto a sus variables disponibles</t>
  </si>
  <si>
    <t>ERM_10.2</t>
  </si>
  <si>
    <t>ERM_10.3</t>
  </si>
  <si>
    <t>ERM_10.4</t>
  </si>
  <si>
    <t>ERM_10.6</t>
  </si>
  <si>
    <t>ERM_11</t>
  </si>
  <si>
    <t>MANTENEDORES CON MATRICES AJUSTABLES (5 MÓDULOS):</t>
  </si>
  <si>
    <t>ERM_11.1</t>
  </si>
  <si>
    <t>Acceso y navegación: Administrador accede al Submenú "Rango Evaluación Riesgo" y visualiza los siguientes elementos:</t>
  </si>
  <si>
    <t>ERM_11.2</t>
  </si>
  <si>
    <t>Edición en grilla: Al presionar el Botón "Crear" o "Editar", el Administrador puede Agregar/Modificar los datos del Caso ERM_11.1, además del valor mínimo y máximo del Rango</t>
  </si>
  <si>
    <t>ERM_11.3</t>
  </si>
  <si>
    <t>Generación de matrices: En la medida que el administrador Agregue nuevos rangos, la matriz cambiará de dimensiones (ej. 2x2, 3x3, etc)</t>
  </si>
  <si>
    <t>Dónde se visualiza el cambio de dimensión?</t>
  </si>
  <si>
    <t>ERM_11.4</t>
  </si>
  <si>
    <t>ERM_12</t>
  </si>
  <si>
    <t>CÁLCULO RECURRENTE NOTA INFORME CON REDUCCIÓN POR GRAVEDAD:</t>
  </si>
  <si>
    <t>ERM_12.1</t>
  </si>
  <si>
    <t>Regla de reducción de gravedad: Cuando una observación cambia a estado "Cerrada" o "Solucionada", el sistema asigna gravedad mínima (valor = 1)</t>
  </si>
  <si>
    <t>28/07: No se pueden cargar archivos de evidencia</t>
  </si>
  <si>
    <t>ERM_12.2</t>
  </si>
  <si>
    <t>Recalculo de notas: El sistema recalcula automáticamente las calificaciones ajustadas (CAL_AMBITO_X_AJUSTADA) en T_Ppal considerando la nueva gravedad</t>
  </si>
  <si>
    <t>29/07: El sistema no está disminuyendo la nota del informe a 1, deja un residuo</t>
  </si>
  <si>
    <t>ERM_12.3</t>
  </si>
  <si>
    <t>Impacto en incertidumbre: El recalculo afecta correctamente la incertidumbre de validación (INC_VALIDACION) en modelos relacionados</t>
  </si>
  <si>
    <t>ERM_13</t>
  </si>
  <si>
    <t>NUEVAS COLUMNAS T_PPAL PARA CALIFICACIONES AJUSTADAS:</t>
  </si>
  <si>
    <t>ERM_13.1</t>
  </si>
  <si>
    <t>Creación de estructura: Las nuevas columnas (ej. NOTA_FINAL_RECALCULADA y calificaciones ajustadas) existen correctamente en T_Ppal con tipo y formato esperado</t>
  </si>
  <si>
    <t>2026-07-20</t>
  </si>
  <si>
    <t>ERM_13.2</t>
  </si>
  <si>
    <t>Actualización de calificaciones: El sistema recalcula y almacena correctamente las calificaciones ajustadas por ámbito (incluyendo NOTA_FINAL_RECALCULADA) en función de la gravedad y estado de observaciones</t>
  </si>
  <si>
    <t>ERM_13.3</t>
  </si>
  <si>
    <t>Regla de negocio aplicada: Si observaciones de un ámbito están solucionadas/cerradas, la calificación de ese ámbito se ajusta correctamente (ej. valor mínimo = 1)</t>
  </si>
  <si>
    <t>07/08: Se verifican notas ajustadas inferiores a 1, siendo que el minimo de la nota es "1.1"</t>
  </si>
  <si>
    <t>ERM_14</t>
  </si>
  <si>
    <t>COLUMNA PROMEDIO ÚLTIMAS N VALIDACIONES:</t>
  </si>
  <si>
    <t>ERM_14.1</t>
  </si>
  <si>
    <t>Creación de columna: La columna PROMEDIO_ULT_N_VALIDACIONES existe en T_Ppal con formato numérico (2 decimales) y es visible en reportes</t>
  </si>
  <si>
    <t>Documentación</t>
  </si>
  <si>
    <t>D_1</t>
  </si>
  <si>
    <t>AUTOCARGA DE MODELO Y ETAPA EN DOCUMENTACIÓN:</t>
  </si>
  <si>
    <t>Todos los Módulos</t>
  </si>
  <si>
    <t>GRM_DESA_EJECUTOR, GRM_DESA_APROBADOR, GRM_IMPLEM_EJECUTOR, GRM_IMPLEM_APROBADOR, GRM_RESPO_SEG_EJECUTOR, GRM_RESPO_SEG_APROBADOR, GRM_VALIDADOR_EJECUTOR, GRM_VALIDADOR_APROBADOR, GRM_SECR_COMITE, GRM_REVISOR, GRM_ADMINISTRADOR</t>
  </si>
  <si>
    <t>D_1.1</t>
  </si>
  <si>
    <t>Al acceder a la carga de documentos desde un módulo del sistema, el sistema identifica el módulo origen y muestra la sección de documentación con los campos Modelo y Etapa autocargados según el contexto de trabajo actual.</t>
  </si>
  <si>
    <t>1. No se pueden cargar documentos</t>
  </si>
  <si>
    <t>D_1.2</t>
  </si>
  <si>
    <t>Los campos Modelo y Etapa se muestran como solo lectura (Read Only), impidiendo su modificación manual por parte del usuario.</t>
  </si>
  <si>
    <t>2026-08-03</t>
  </si>
  <si>
    <t>03/08: al intentar editar un documento desde el modulo de documentacion, los campos quedan bloqueados y en blanco, lo que impide actualizar los archivos (son campos obligatorios)</t>
  </si>
  <si>
    <t>D_1.3</t>
  </si>
  <si>
    <t>Al completar la carga, el documento queda automáticamente asociado al modelo y etapa del contexto, sin requerir selección adicional por parte del usuario.</t>
  </si>
  <si>
    <t>Depende de corrección D_1.1</t>
  </si>
  <si>
    <t>D_2</t>
  </si>
  <si>
    <t>ASIGNACIÓN DE DOCUMENTO A MÚLTIPLES MODELOS:</t>
  </si>
  <si>
    <t>D_2.1</t>
  </si>
  <si>
    <t>Una vez cargado un documento, el sistema permite acceder a la sección de Modelos Asociados, mostrando los modelos actualmente vinculados al documento.</t>
  </si>
  <si>
    <t>D_2.2</t>
  </si>
  <si>
    <t>El usuario puede seleccionar uno o más modelos adicionales mediante el componente de selección múltiple, asociando el documento a múltiples modelos existentes en el sistema.</t>
  </si>
  <si>
    <t>03/08: - El campo Permisos NO DEBE ser obligatorio</t>
  </si>
  <si>
    <t>29-jul</t>
  </si>
  <si>
    <t>D_2.3</t>
  </si>
  <si>
    <t>El sistema valida que un documento no pueda asociarse más de una vez al mismo modelo; en caso de intento duplicado, muestra la alerta: "No se puede asociar el documento. El modelo ya está asociado".</t>
  </si>
  <si>
    <t>D_2.4</t>
  </si>
  <si>
    <t>El usuario puede eliminar modelos previamente asociados, y el sistema actualiza la tabla de relación reflejando los cambios, manteniendo solo las asociaciones vigentes.</t>
  </si>
  <si>
    <t>D_2.5</t>
  </si>
  <si>
    <t>Al completar correctamente la asociación múltiple, el sistema muestra la alerta: "Documento asociado a X modelos exitosamente" y el documento queda visible en la vista de cada modelo asociado.</t>
  </si>
  <si>
    <t>D_3</t>
  </si>
  <si>
    <t>VERSIÓN AUTOMÁTICA INCREMENTAL DEL DOCUMENTO:</t>
  </si>
  <si>
    <t>Sistema (automatico)</t>
  </si>
  <si>
    <t>D_3.1</t>
  </si>
  <si>
    <t>Al cargar o actualizar un documento, el sistema calcula automáticamente la siguiente versión disponible según el histórico del documento y la muestra en el campo correspondiente.</t>
  </si>
  <si>
    <t>03/08: el versionamiento no esta ajustandose automaticamente</t>
  </si>
  <si>
    <t>D_3.2</t>
  </si>
  <si>
    <t>El campo versión del documento se muestra con el valor generado automáticamente (formato definido), permitiendo al usuario continuar con la carga utilizando dicha versión.</t>
  </si>
  <si>
    <t>D_3.3</t>
  </si>
  <si>
    <t>El sistema valida que la versión asignada no exista previamente para el documento; en caso de duplicidad, evita la operación y solicita una acción sobre la versión.</t>
  </si>
  <si>
    <t>D_3.4</t>
  </si>
  <si>
    <t>El sistema almacena el documento con la versión asignada y genera el nombre del archivo con el prefijo [FECHA][HORA][NOMBRE_ORIGINAL], evitando sobreescritura de versiones anteriores.</t>
  </si>
  <si>
    <t>D_3.5</t>
  </si>
  <si>
    <t>Ante una versión inválida (formato incorrecto o inconsistente), el sistema muestra la alerta: "Formato de versión no válido." e impide continuar con el guardado.</t>
  </si>
  <si>
    <t>D_4</t>
  </si>
  <si>
    <t>PREFIJO DE FECHA EN VERSIÓN DEL DOCUMENTO:</t>
  </si>
  <si>
    <t>D_4.1</t>
  </si>
  <si>
    <t>Al cargar un documento, el sistema obtiene la fecha y hora actual y genera automáticamente el nombre del archivo, anteponiendo el prefijo correspondiente al nombre original.</t>
  </si>
  <si>
    <t>Se debe modificar el horario del sistema para que sea el mismo huso</t>
  </si>
  <si>
    <t>D_4.2</t>
  </si>
  <si>
    <t>El nombre generado sigue el formato definido: [FECHA][HORA][VERSIÓN]_[NOMBRE_ORIGINAL], mostrándose en el campo correspondiente antes de guardar el documento.</t>
  </si>
  <si>
    <t>D_4.3</t>
  </si>
  <si>
    <t>El sistema valida que el nombre generado sea válido y no contenga caracteres no permitidos, asegurando integridad en la identificación del documento almacenado.</t>
  </si>
  <si>
    <t>D_4.4</t>
  </si>
  <si>
    <t>El sistema muestra la alerta informativa: "El documento se guardará con el nombre: [nombre_generado]", indicando el identificador final del archivo antes de su almacenamiento.</t>
  </si>
  <si>
    <t>D_4.5</t>
  </si>
  <si>
    <t>En caso de que el nombre generado sea demasiado largo, el sistema ajusta el nombre (por ejemplo truncando el nombre original), manteniendo el formato y permitiendo continuar con la carga.</t>
  </si>
  <si>
    <t>D_4.6</t>
  </si>
  <si>
    <t>Si ocurre un error en la generación del formato del nombre, el sistema utiliza el nombre original del archivo y permite continuar el proceso, mostrando la notificación correspondiente.</t>
  </si>
  <si>
    <t>D_5</t>
  </si>
  <si>
    <t>MÓDULO DE DOCUMENTACIÓN CENTRALIZADO:</t>
  </si>
  <si>
    <t>D_5.1</t>
  </si>
  <si>
    <t>Al acceder al módulo de documentación centralizado, el sistema muestra una lista unificada de todos los documentos cargados desde los distintos módulos de la plataforma.</t>
  </si>
  <si>
    <t>03/08: - Al cargar el documento en el informe de validación, no aparece en la sección de documentación</t>
  </si>
  <si>
    <t>D_5.2</t>
  </si>
  <si>
    <t>Cada documento mostrable incluye su trazabilidad de origen, indicando módulo, modelo, etapa y demás atributos asociados.</t>
  </si>
  <si>
    <t>D_5.3</t>
  </si>
  <si>
    <t>El sistema permite aplicar filtros (módulo origen, modelo, etapa, tipo de documento, fecha, usuario), actualizando correctamente los resultados según los criterios seleccionados.</t>
  </si>
  <si>
    <t>D_5.4</t>
  </si>
  <si>
    <t>El usuario puede realizar acciones sobre los documentos (ver detalle, descargar, editar o eliminar) según sus permisos definidos, reflejando correctamente la operación en el sistema.</t>
  </si>
  <si>
    <t>1. No pueden acceder al módulo:</t>
  </si>
  <si>
    <t>D_6</t>
  </si>
  <si>
    <t>PERMISOS DE REVISOR Y ADMINISTRADOR SOBRE DOCUMENTOS:</t>
  </si>
  <si>
    <t>D_6.1</t>
  </si>
  <si>
    <t>Al acceder al módulo de documentación, los usuarios con rol Revisor o Administrador pueden visualizar todos los documentos del sistema sin restricciones de módulo, modelo o etapa.</t>
  </si>
  <si>
    <t>D_6.2</t>
  </si>
  <si>
    <t>El usuario puede acceder al detalle de cualquier documento y visualizar su información completa, independientemente de su origen o asociación.</t>
  </si>
  <si>
    <t>D_6.3</t>
  </si>
  <si>
    <t>El usuario puede editar los metadatos de cualquier documento, y el sistema guarda los cambios correctamente.</t>
  </si>
  <si>
    <t>Al intentar modificar cualquier dato, la funcionalidad exige volver a subir un archivo aún cuando esté visible el nombre del archivo</t>
  </si>
  <si>
    <t>D_6.4</t>
  </si>
  <si>
    <t>El usuario puede eliminar cualquier documento; el sistema solicita confirmación de la acción y registra la operación según la lógica definida.</t>
  </si>
  <si>
    <t>D_7</t>
  </si>
  <si>
    <t>LOG DE CAMBIOS EN DOCUMENTOS:</t>
  </si>
  <si>
    <t>Sistema (automatico), GRM_Administrador</t>
  </si>
  <si>
    <t>D_7_1</t>
  </si>
  <si>
    <t>El sistema registra automáticamente en la auditoría cada acción realizada sobre un documento (creación, modificación, eliminación, descarga o visualización), incluyendo tipo de acción, usuario, fecha y hora.</t>
  </si>
  <si>
    <t>03/08:  La columna Historial, tiene las columnas ocultas y no esta actualizando la información de quien carga, actualiza, etc.</t>
  </si>
  <si>
    <t>D_7_2</t>
  </si>
  <si>
    <t>Para acciones de modificación o eliminación, el sistema registra correctamente los valores anteriores y nuevos del documento, asegurando consistencia en la trazabilidad.</t>
  </si>
  <si>
    <t>D_7_3</t>
  </si>
  <si>
    <t>El log de auditoría es consultable desde el documento o módulo correspondiente, mostrando el historial completo de acciones asociadas al mismo.</t>
  </si>
  <si>
    <t>D_7_4</t>
  </si>
  <si>
    <t>Solo usuarios con rol GRM_ADMINISTRADOR pueden acceder al log de auditoría; cualquier intento de acceso sin permisos es restringido.</t>
  </si>
  <si>
    <t>D_7_5</t>
  </si>
  <si>
    <t>El sistema garantiza que los registros de auditoría no pueden ser modificados ni eliminados por usuarios, manteniendo la integridad del log.</t>
  </si>
  <si>
    <t>Incidencias</t>
  </si>
  <si>
    <t>IN_1</t>
  </si>
  <si>
    <t>CREACIÓN DEL MÓDULO DE INCIDENCIAS DEL MODELO:</t>
  </si>
  <si>
    <t>Incidencia de Modelos</t>
  </si>
  <si>
    <t>GRM_DESA_EJECUTOR, GRM_DESA_APROBADOR, GRM_IMPLEM_EJECUTOR, GRM_IMPLEM_APROBADOR,  GRM_REVISOR, GRM_ADMINISTRADOR</t>
  </si>
  <si>
    <t>IN_1.1</t>
  </si>
  <si>
    <t>Al acceder al sistema, se presenta el Módulo de Incidencias en el menú de opciones de la izquierda de la pantalla</t>
  </si>
  <si>
    <t>2026-05-15</t>
  </si>
  <si>
    <t>IN_2</t>
  </si>
  <si>
    <t>DEFINICIÓN DE INCIDENCIAS DE MODELO:</t>
  </si>
  <si>
    <t>IN_2.1</t>
  </si>
  <si>
    <t>IN_3</t>
  </si>
  <si>
    <t>CREACIÓN DE TABLA T_OBS_INC:</t>
  </si>
  <si>
    <t>GRM_ADMINISTRADOR (solo para creación inicial), Sistema (Automático)</t>
  </si>
  <si>
    <t>IN_3.1</t>
  </si>
  <si>
    <t>La nueva tabla T_OBS_INC, debe generarse (para posterior descarga), por parte del Administrador, desde la opción "Registra Historial" en el menú superior del sistema</t>
  </si>
  <si>
    <t>2026-06-22</t>
  </si>
  <si>
    <t>10-jun: No genera la vista</t>
  </si>
  <si>
    <t>10-jun (NOK - ALTA)</t>
  </si>
  <si>
    <t>Se debe crear la tabla T_Obs_Inc, con los campos provenientes del formulario de Incidencias de Modelos</t>
  </si>
  <si>
    <t>IN_3.2</t>
  </si>
  <si>
    <t>La nueva tabla T_OBS_INC, debe estar disponible para descarga, por parte del administrador y en formato excel, en la opción "Descargar Historial" en el menú superior del sistema</t>
  </si>
  <si>
    <t>10/06: La tabla viene vacia, siendo que se registran casos en la funcionalidad</t>
  </si>
  <si>
    <t>IN_3.3</t>
  </si>
  <si>
    <t>2026-06-10</t>
  </si>
  <si>
    <t>Dependen de corrección IN_3.1</t>
  </si>
  <si>
    <t>IN_3.4</t>
  </si>
  <si>
    <t>Los campos y tipos de dato que debe incluir la nueva tabla T_OBS_INC, son:</t>
  </si>
  <si>
    <t>10-jun: Dependen de corrección IN_3.2</t>
  </si>
  <si>
    <t>10-jun (BLOQUEADO PARA EJECUTAR)</t>
  </si>
  <si>
    <t>IN_4</t>
  </si>
  <si>
    <t>CARGA MASIVA DE INCIDENCIAS:</t>
  </si>
  <si>
    <t>IN_4.1</t>
  </si>
  <si>
    <t>Al ingresar a la opción de "Incidencias del Modelo", el usuario presiona el botón "Descargar plantilla" para descargar un archivo excel que le permitirá registrar las incidencias del modelo</t>
  </si>
  <si>
    <t>IN_4.2</t>
  </si>
  <si>
    <t>Para cargar masivamente las incidencias al sistema, el usuario presiona el botón "Cargar Información", que le permite seleccionar la plantilla excel para la carga masiva. Otros formatos no serán reconocidos</t>
  </si>
  <si>
    <t>IN_4.3</t>
  </si>
  <si>
    <t>Al cargar la planilla excel, el sistema realiza validaciones para todas las filas de datos y genera un resumen de la carga, indicando registros válidos e inválidos</t>
  </si>
  <si>
    <t>IN_4.4</t>
  </si>
  <si>
    <t>IN_4.5</t>
  </si>
  <si>
    <t>Los datos válidos del resumen de carga, se reflejan en la descarga de la vista T_OBS_INC</t>
  </si>
  <si>
    <t>IN_5</t>
  </si>
  <si>
    <t>ALERTAS DE CORREO PARA GESTIÓN DE INCIDENCIAS:</t>
  </si>
  <si>
    <t>IN_5.1</t>
  </si>
  <si>
    <t>El sistema identifica diariamente todas las incidencias a cinco días del vencimiento de la fecha de compromiso y envía un mail a sus responsables</t>
  </si>
  <si>
    <t>Requiere apoyo de Desarrollo para ejecutar</t>
  </si>
  <si>
    <t>IN_5.2</t>
  </si>
  <si>
    <t>La hora y periodicidad del informe puede ser modificado desde el Mantendor de Configuración de alertas</t>
  </si>
  <si>
    <t>IN_5.3</t>
  </si>
  <si>
    <t>El mail enviado, se compone de la siguiente forma:</t>
  </si>
  <si>
    <t>IN_5.4</t>
  </si>
  <si>
    <t>El sistema almacena el un log todos los envíos realizados y excepciones si las hubiese</t>
  </si>
  <si>
    <t>IN_6</t>
  </si>
  <si>
    <t>IN_6.1</t>
  </si>
  <si>
    <t>ALTO</t>
  </si>
  <si>
    <t>CAMPOS DEL FORMULARIO DE INCIDENCIA DEL MODELO</t>
  </si>
  <si>
    <t>GRM_DESA_EJECUTOR, GRM_DESA_APROBADOR, GRM_IMPLEM_EJECUTOR, GRM_IMPLEM_APROBADOR, GRM_RESPO_SEG_EJECUTOR, GRM_RESPO_SEG_APROBADOR, GRM_VALIDADOR_EJECUTOR, GRM_VALIDADOR_APROBADOR, GRM_ADMINISTRADOR</t>
  </si>
  <si>
    <t>IN_7.1</t>
  </si>
  <si>
    <t>Al ingresar al formulario de incidencias, debe ser posible ver los siguientes campos:</t>
  </si>
  <si>
    <t>11/08:  Falta cuadro de motivo para los botones de reparar y rechazar</t>
  </si>
  <si>
    <t>IN_7.2</t>
  </si>
  <si>
    <t>El usuario puede ingresar y editar datos de la incidencia. Sólo el administrador puede eliminarlas</t>
  </si>
  <si>
    <t>IN_7.3</t>
  </si>
  <si>
    <t>Si la incidencias fue enviada, se bloquea la posibilidad de editar los datos</t>
  </si>
  <si>
    <t>06/08: - Los campos no quedan bloqueados al presionar enviar</t>
  </si>
  <si>
    <t>IN_7.4</t>
  </si>
  <si>
    <t>Al intentar editar una incidencia enviada, el sistema muestra mensaje de restricción:</t>
  </si>
  <si>
    <t>10/07: no es posible editar, enviar o reparar. Dado el problema de la prueba IN_7.3</t>
  </si>
  <si>
    <t>IN_7.5</t>
  </si>
  <si>
    <t>Al adjuntar un archivo que supere el tamaño máximo (no especificado), se muestra un error y se pide reducir el tamaño.</t>
  </si>
  <si>
    <t>Al adjuntar un archivo y presionar "Guardar", no se realiza ninguna acción. Tampoco se ve reflejado el archivo en el formulario de la incidencia</t>
  </si>
  <si>
    <t>IN_7.6</t>
  </si>
  <si>
    <t>10/06: No se puede ejecutar debido al erroe encontrado en IN_7,3</t>
  </si>
  <si>
    <t>IN_7.7</t>
  </si>
  <si>
    <t>Al guardar/enviar una incidencia, se actualiza la grilla de incidencias con la nueva ingresada</t>
  </si>
  <si>
    <t>IN_8</t>
  </si>
  <si>
    <t>MANTENEDOR DE ESTADOS DE INCIDENCIA</t>
  </si>
  <si>
    <t>IN_8.1</t>
  </si>
  <si>
    <t>Al acceder al mantendor de estados, se muestra la lista de estados existentes con sus datos.</t>
  </si>
  <si>
    <t>IN_8.2</t>
  </si>
  <si>
    <t>El administrador puede Crear un nuevo estado, Editar un estado existente o Desactivar un estado (no se elimina, sólo lo marca inactivo). Los cambios se reflejan inmediatamente en el formulario de incidencias.</t>
  </si>
  <si>
    <t>IN_8.3</t>
  </si>
  <si>
    <t>Al intentar crear un estado duplicado, se muestra error de validación.</t>
  </si>
  <si>
    <t>No realiza estas validaciones</t>
  </si>
  <si>
    <t>IN_8.4</t>
  </si>
  <si>
    <t>Al intentar desactivar un estado que se encuentra en uso, el sistema muestra una advertencia y se bloquea la opción.</t>
  </si>
  <si>
    <t>IN_8.5</t>
  </si>
  <si>
    <t>El campo "descripción" es obligatorio</t>
  </si>
  <si>
    <t>No es obligatorio</t>
  </si>
  <si>
    <t>IN_8.6</t>
  </si>
  <si>
    <t>No muestra alertas</t>
  </si>
  <si>
    <t>IN_9</t>
  </si>
  <si>
    <t>MANTENEDOR DE CALIFICACIONES DE INCIDENCIA:</t>
  </si>
  <si>
    <t>IN_9.1</t>
  </si>
  <si>
    <t>El mantenedor debe permitir Agregar, Modificar y Eliminar lógicamente los Tipos de Modelación</t>
  </si>
  <si>
    <t>IN_9.2</t>
  </si>
  <si>
    <t>El mantenedor debe validar los campos de la siguiente forma:</t>
  </si>
  <si>
    <t>IN_9.3</t>
  </si>
  <si>
    <t>11/06: esto debe volver a validarse en control ERM</t>
  </si>
  <si>
    <t>IN_10</t>
  </si>
  <si>
    <t>MEDIO</t>
  </si>
  <si>
    <t>ELIMINACIÓN DE INCIDENCIAS CON MOTIVO:</t>
  </si>
  <si>
    <t>IN_10.1</t>
  </si>
  <si>
    <t>Un administrador, al hacer clic en el botón "Eliminar" de una incidencia, se muestra un diálogo modal pidiendo el motivo de la eliminación.</t>
  </si>
  <si>
    <t>1. El modal da la opción de adjuntar archivos pero no está el botón adjuntar</t>
  </si>
  <si>
    <t>IN_10.2</t>
  </si>
  <si>
    <t>El motivo de eliminación debe tener un mínimo de 10 caracteres. Si el motivo es muy corto, se muestra mensaje de error y se pide ampliar.</t>
  </si>
  <si>
    <t>La incidencia se elimina con menos de 10 caracteres</t>
  </si>
  <si>
    <t>IN_10.3</t>
  </si>
  <si>
    <t>Al confirmar la eliminación, se registra la eliminación en la tabla de auditoría, y se muestra un mensaje de éxito.</t>
  </si>
  <si>
    <t>06/08: el administrador no puede eliminar incidencia</t>
  </si>
  <si>
    <t>IN_10.4</t>
  </si>
  <si>
    <t>Al eliminar una incidencia, se actualiza la grilla de incidencias</t>
  </si>
  <si>
    <t>Al eliminar, el usuario queda posicionado en el mismo modal de eliminación, pudiendo actualizar los datos de eliminación</t>
  </si>
  <si>
    <t>IN_10.5</t>
  </si>
  <si>
    <t>Si la incidencia tiene dependencias (o está referenciada por otro procesos), se muestra un mensaje de error detallando las dependencias.</t>
  </si>
  <si>
    <t>IN_10.6</t>
  </si>
  <si>
    <t>Información Inventario</t>
  </si>
  <si>
    <t>II_1</t>
  </si>
  <si>
    <t>DOS PESTAÑAS RESUMEN E INVENTARIO:</t>
  </si>
  <si>
    <t>Pestaña Resumen: TODOS LOS USUARIOS.</t>
  </si>
  <si>
    <t>II_1.1</t>
  </si>
  <si>
    <t>Al acceder al módulo Información del Inventario, el sistema muestra la página principal con dos pestañas visibles: Resumen e Inventario</t>
  </si>
  <si>
    <t>Se debe generar dos pestañas llamadas Resumen y la otra Inventario</t>
  </si>
  <si>
    <t>Pestaña Inventario: GRM_DESA_EJECUTOR, GRM_DESA_APROBADOR, GRM_IMPLEM_EJECUTOR, GRM_IMPLEM_APROBADOR, GRM_RESPO_SEG_EJECUTOR, GRM_RESPO_SEG_APROBADOR, GRM_VALIDADOR_EJECUTOR, GRM_VALIDADOR_APROBADOR, GRM_REVISOR, GRM_ADMINISTRADOR</t>
  </si>
  <si>
    <t>II_1.2</t>
  </si>
  <si>
    <t>Por defecto, el sistema carga la pestaña Resumen como pestaña activa, mostrando el contenido correspondiente de métricas e información general del inventario.</t>
  </si>
  <si>
    <t>II_1.3</t>
  </si>
  <si>
    <t>Al hacer clic en cada pestaña (Resumen o Inventario), el sistema cambia correctamente el foco de navegación y carga el contenido correspondiente en el área principal de la página, reflejando visualmente la pestaña activa.</t>
  </si>
  <si>
    <t>II_1.4</t>
  </si>
  <si>
    <t>El sistema valida los permisos de acceso por tab: la pestaña Resumen está disponible para todos los usuarios, mientras que la pestaña Inventario solo es accesible para los roles definidos. En caso de no contar con permisos, la pestaña se presenta oculta o deshabilitada.</t>
  </si>
  <si>
    <t>II_2</t>
  </si>
  <si>
    <t>PESTAÑA RESUMEN CON FUNCIONALIDAD DE VISUALIZACIÓN:</t>
  </si>
  <si>
    <t>Pestaña Resumen</t>
  </si>
  <si>
    <t>II_2.1</t>
  </si>
  <si>
    <t>Al ingresar a la pestaña Resumen, el sistema muestra el dashboard de visualización del inventario con métricas e indicadores disponibles, incluyendo información agregada de modelos, estados y etapas del ciclo de vida.</t>
  </si>
  <si>
    <t>Dentro de la pestaña Resumen debe estar la funcionalidad actual llamada Visualización</t>
  </si>
  <si>
    <t>II_2.2</t>
  </si>
  <si>
    <t>El usuario interactúa con las mejoras en la visualización de la pestaña Resumen,  como: cantidad total de modelos por estado, distribución por etapas del ciclo de vida, modelos pendientes de validación, modelos en producción, entre otros indicadores relevantes.</t>
  </si>
  <si>
    <t>30-jun: Según definición del usuario, los modelos se deben consultar 1 a 1, no el resumen.</t>
  </si>
  <si>
    <t>II_3</t>
  </si>
  <si>
    <t>GENERACIÓN DE TABLA INVENTARIO POR QUERY O MANTENEDOR:</t>
  </si>
  <si>
    <t>Pestaña Inventario</t>
  </si>
  <si>
    <t>II_3.1</t>
  </si>
  <si>
    <t>El sistema permite acceder a la funcionalidad de configuración de la tabla de inventario solo a usuarios con rol GRM_ADMINISTRADOR, mostrando el editor SQL o Query Builder con la configuración actual disponible.</t>
  </si>
  <si>
    <t>2026-06-23</t>
  </si>
  <si>
    <t>30-jun: Se reemplaza por HU II_7</t>
  </si>
  <si>
    <t>El Administrador debe poder generar la tabla, a través, de query u otra por mantenedor</t>
  </si>
  <si>
    <t>II_3.2</t>
  </si>
  <si>
    <t>El administrador puede modificar la query de generación de la tabla de inventario y ejecutar un preview de resultados, validando que la consulta retorna información según lo configurado antes de guardar los cambios.</t>
  </si>
  <si>
    <t>II_3.3</t>
  </si>
  <si>
    <t>El sistema valida la query ingresada, asegurando que tenga sintaxis correcta, que retorne las columnas esperadas y que no contenga sentencias no permitidas. En caso de error, el sistema muestra la alerta: "Error en la query. Verifique la sintaxis".</t>
  </si>
  <si>
    <t>II_3.4</t>
  </si>
  <si>
    <t>Una vez guardada la configuración, el sistema actualiza la tabla de inventario en base a la query definida, reflejando los cambios en la visualización y manteniendo la configuración persistente para futuras sesiones.</t>
  </si>
  <si>
    <t>II_4</t>
  </si>
  <si>
    <t>VISTA DE TABLA INVENTARIO POR PERFILES:</t>
  </si>
  <si>
    <t>Todos los perfiles Excepto GRM_USUARIO, GRM_USUARIO_AUDITOR, GRM_USUARIO_EXTERNO</t>
  </si>
  <si>
    <t>II_4.1</t>
  </si>
  <si>
    <t>Al acceder a la pestaña Inventario, el sistema muestra la tabla de inventario generada a partir de la query configurada, cargando los datos correspondientes según el perfil del usuario.</t>
  </si>
  <si>
    <t>2026-07-07</t>
  </si>
  <si>
    <t>30/06: Al seleccionar una vista y luego volver a seleccionar otra (sin presionar el botón limpiar reporte) aparece un mensaje de error</t>
  </si>
  <si>
    <t>Los distintos perfiles deben poder ver la tabla inventario generada por la Query</t>
  </si>
  <si>
    <t>II_4.2</t>
  </si>
  <si>
    <t>El sistema identifica el perfil del usuario y aplica automáticamente los filtros correspondientes, mostrando únicamente los modelos que el usuario tiene permiso de visualizar.</t>
  </si>
  <si>
    <t>30-jun: Desestimada por usuario</t>
  </si>
  <si>
    <t>II_4.3</t>
  </si>
  <si>
    <t>La tabla muestra las columnas definidas en la query configurada (por ejemplo Código, Nombre, Etapa, Estado, Fecha, Responsable, ERM), asegurando consistencia entre la configuración y la visualización.</t>
  </si>
  <si>
    <t>II_4.4</t>
  </si>
  <si>
    <t>El usuario puede interactuar con la tabla mediante funcionalidades del reporte interactivo: aplicar filtros adicionales, realizar búsquedas, ordenar columnas y usar el menú de acciones disponible.</t>
  </si>
  <si>
    <t>II_4.5</t>
  </si>
  <si>
    <t>Si no existen datos disponibles para el perfil del usuario, el sistema muestra un mensaje indicando que no hay modelos disponibles para su visualización.</t>
  </si>
  <si>
    <t>II_5</t>
  </si>
  <si>
    <t>FORMATO DE TABLAS SEGÚN ESTÁNDARES ACTUALES:</t>
  </si>
  <si>
    <t>II_5.1</t>
  </si>
  <si>
    <t>El sistema aplica correctamente los estilos definidos (encabezados, filas alternadas, ancho de columnas adaptativo y ordenamiento de columnas), asegurando una correcta visualización y legibilidad de la información.</t>
  </si>
  <si>
    <t>Las especies de vistas generadas por mantenedor deben tener el mismo formato de las tablas actuales.</t>
  </si>
  <si>
    <t>II_5.2</t>
  </si>
  <si>
    <t>El formato de la tabla se aplica correctamente al exportar o imprimir, manteniendo coherencia visual y legibilidad de la información.</t>
  </si>
  <si>
    <t>II_6</t>
  </si>
  <si>
    <t>RESTRICCIÓN DE VALORES DE VISTA POR ÁREA Y FAMILIA:</t>
  </si>
  <si>
    <t>II_6.1</t>
  </si>
  <si>
    <t>II_7</t>
  </si>
  <si>
    <t>MANTENEDORES PARA LAS QUERIES DEL INVENTARIO:</t>
  </si>
  <si>
    <t>II_7.1</t>
  </si>
  <si>
    <t>El sistema permite el acceso al mantenedor de queries únicamente a usuarios con rol GRM_ADMINISTRADOR, mostrando la lista de queries configuradas disponibles para gestión.</t>
  </si>
  <si>
    <t>Se deben realizar mantenedores para las querys que generen las tablas</t>
  </si>
  <si>
    <t>II_7.2</t>
  </si>
  <si>
    <t>El administrador puede crear, editar, duplicar, activar o desactivar queries mediante el formulario correspondiente, ingresando nombre, descripción, consulta SQL, estado, indicador de principal y orden.</t>
  </si>
  <si>
    <t>15/07: El campo Concepto, exige que el valor sea en mayusuculas a pesar de que esta ingreado todo el valor correctamente (Ver evidencias)</t>
  </si>
  <si>
    <t>II_7.3</t>
  </si>
  <si>
    <t>El sistema valida la query ingresada, asegurando que sea sintácticamente correcta, que el nombre no esté duplicado y que cumpla con las reglas definidas. En caso de error, el sistema muestra la alerta: "La query tiene errores".</t>
  </si>
  <si>
    <t>30-jun y 24-jun: No se logra reproducir incidente</t>
  </si>
  <si>
    <t>23-jun (NOK - ALTA)</t>
  </si>
  <si>
    <t>II_7.4</t>
  </si>
  <si>
    <t>Al guardar una query correctamente, el sistema muestra la alerta: "Query guardada exitosamente", registrando además los cambios en el historial correspondiente.</t>
  </si>
  <si>
    <t>Al eliminar y volver a crear una Query, el sistema arroja error.</t>
  </si>
  <si>
    <t>II_7.5</t>
  </si>
  <si>
    <t>El sistema valida reglas de negocio sobre las queries: no permite eliminar una query en uso y asegura que solo exista una query marcada como principal al mismo tiempo.</t>
  </si>
  <si>
    <t>30-jun: No existen procesos donde quede en uso la query, sólo al generarla.</t>
  </si>
  <si>
    <t>II_7.6</t>
  </si>
  <si>
    <t>Al eliminar una query, el sistema solicita confirmación mediante la alerta: "¿Está seguro de eliminar esta query?", ejecutando la acción solo tras confirmación del usuario.</t>
  </si>
  <si>
    <t>II_8</t>
  </si>
  <si>
    <t>FILTROS POR FAMILIAS, ERM Y OTROS CRITERIOS:</t>
  </si>
  <si>
    <t>II_8.1</t>
  </si>
  <si>
    <t>El sistema permite aplicar filtros sobre la tabla de inventario mediante distintos criterios disponibles (familia, ERM, etapa, estado, área, fecha, entre otros), utilizando los componentes del reporte interactivo.</t>
  </si>
  <si>
    <t>22/07: Los valores de las columnas no aparecen en su correspondiente ubicación, es decir, el nombre de modelo aparece en columna Familia Nivel 1, Familia Nivel 1 aparece en Familia Nivel 2, etc.</t>
  </si>
  <si>
    <t>II_8.2</t>
  </si>
  <si>
    <t>El usuario puede combinar múltiples filtros simultáneamente, y el sistema actualiza la tabla mostrando únicamente los resultados que cumplen con todos los criterios aplicados.</t>
  </si>
  <si>
    <t>II_8.3</t>
  </si>
  <si>
    <t>Al aplicar filtros, el sistema muestra la alerta: "X resultados encontrados para los filtros aplicados", reflejando la cantidad de registros obtenidos.</t>
  </si>
  <si>
    <t>II_8.4</t>
  </si>
  <si>
    <t>El usuario puede guardar la configuración de filtros como una vista personalizada, y el sistema muestra la alerta: "Vista guardada exitosamente", permitiendo reutilizarla posteriormente.</t>
  </si>
  <si>
    <t>II_8.5</t>
  </si>
  <si>
    <t>Si los filtros aplicados no arrojan resultados, el sistema muestra un mensaje indicando que no existen modelos que coincidan con los criterios ingresados, y permite limpiar o modificar los filtros.</t>
  </si>
  <si>
    <t>II_9</t>
  </si>
  <si>
    <t>DESCARGA DE TABLA DE INVENTARIO:</t>
  </si>
  <si>
    <t>II_9.1</t>
  </si>
  <si>
    <t>El usuario puede acceder a la opción de descarga desde el menú de acciones del reporte interactivo y seleccionar el formato disponible (PDF o HTML) para exportar la tabla de inventario.</t>
  </si>
  <si>
    <t>II_9.2</t>
  </si>
  <si>
    <t>Al ejecutar la descarga, el sistema genera el archivo utilizando los datos actualmente visibles en la tabla, respetando los filtros aplicados por el usuario.</t>
  </si>
  <si>
    <t>II_10</t>
  </si>
  <si>
    <t>NOTA DE VALIDACIÓN REFLEJADA EN RESUMEN:</t>
  </si>
  <si>
    <t>TODOS LOS USUARIOS</t>
  </si>
  <si>
    <t>II_10.1</t>
  </si>
  <si>
    <t>Al ingresar a la pestaña Resumen, el sistema muestra la nota final de validación asociada al modelo en una tarjeta o componente destacado dentro de la interfaz.</t>
  </si>
  <si>
    <t>10/07: El problema persiste</t>
  </si>
  <si>
    <t>II_10.2</t>
  </si>
  <si>
    <t>La nota mostrada corresponde exclusivamente a la nota final del informe de validación, sin incluir otras notas intermedias o parciales.</t>
  </si>
  <si>
    <t>28/07: Se debe mejorar visualmente la posición de los recuadros de los informes, actualmente se muestran alineados a la izquierda dejando espacio en la distribución</t>
  </si>
  <si>
    <t>II_10.3</t>
  </si>
  <si>
    <t>Si no existe una nota final de validación para el modelo, el sistema muestra un valor representativo indicando estado pendiente o equivalente, según la configuración.</t>
  </si>
  <si>
    <t>14/07: al ver el modelo 1010-4 este sólo se visualiza el informe de desarrollo y no el de implementación</t>
  </si>
  <si>
    <t>II_10.4</t>
  </si>
  <si>
    <t>El usuario puede interactuar con el componente de la nota (cuando aplique), accediendo al detalle del informe de validación asociado.</t>
  </si>
  <si>
    <t>II_11</t>
  </si>
  <si>
    <t>AJUSTE DE NOMBRES DE COMPONENTES ERM:</t>
  </si>
  <si>
    <t>II_11.1</t>
  </si>
  <si>
    <t>El sistema muestra los nombres de las componentes ERM utilizando la nueva nomenclatura definida, reflejando los cambios en todas las vistas donde se presentan estos componentes.</t>
  </si>
  <si>
    <t>2026-06-25</t>
  </si>
  <si>
    <t>Se confirman mismos conceptos utilizados en ERM pero se requiere conformidad de usuario final</t>
  </si>
  <si>
    <t>II_12</t>
  </si>
  <si>
    <t>COLORES PARA CLASIFICACIÓN DE COMPONENTES ERM:</t>
  </si>
  <si>
    <t>II_12.1</t>
  </si>
  <si>
    <t>El sistema muestra los componentes ERM utilizando colores asociados a cada clasificación definida (por ejemplo Incertidumbre Total, Materialidad, Evaluación de Riesgo de Modelo), facilitando la identificación visual de los datos.</t>
  </si>
  <si>
    <t>1. En ocasiones no carga automáticamente los Datos de ERM. Exige seleccionar el Subnivel 3 para mostrarlos</t>
  </si>
  <si>
    <t>II_12.2</t>
  </si>
  <si>
    <t>Los colores aplicados a cada clasificación son consistentes en todas las vistas del sistema, manteniendo uniformidad en la representación visual de los componentes ERM.</t>
  </si>
  <si>
    <t>II_12.3</t>
  </si>
  <si>
    <t>En caso de que una clasificación no tenga un color configurado, el sistema aplica un color por defecto, permitiendo igualmente la visualización del componente.</t>
  </si>
  <si>
    <t>No se ha logrado confirmar. Revisar con Desarrollo</t>
  </si>
  <si>
    <t>II_13</t>
  </si>
  <si>
    <t>VENTANAS DE VALIDACIÓN CON DETALLE:</t>
  </si>
  <si>
    <t>II_13.1</t>
  </si>
  <si>
    <t>En la pestaña Resumen, el sistema muestra indicadores o componentes de validación que contienen información resumida de los informes disponibles.</t>
  </si>
  <si>
    <t>2026-06-26</t>
  </si>
  <si>
    <t>Se deben agregar N ventanas de validación estas ventanas deben tener los últimos ID Informe, N° Observaciones, Nota Validación (final) y N° Observaciones Invalidantes</t>
  </si>
  <si>
    <t>II_13.2</t>
  </si>
  <si>
    <t>Al hacer clic en un indicador de validación, el sistema abre correctamente una ventana modal que presenta el detalle del informe correspondiente.</t>
  </si>
  <si>
    <t>II_13.3</t>
  </si>
  <si>
    <t>La ventana de detalle muestra la información definida: ID del informe, número de observaciones, nota final de validación y número de observaciones invalidantes, asegurando consistencia con los datos registrados.</t>
  </si>
  <si>
    <t>Se excluyen observaciones invalidantes</t>
  </si>
  <si>
    <t>II_13.4</t>
  </si>
  <si>
    <t>En caso de existir observaciones invalidantes, el sistema muestra la alerta: "Existen observaciones invalidantes", indicando la condición del informe.</t>
  </si>
  <si>
    <t>II_14</t>
  </si>
  <si>
    <t>NUEVA CLASIFICACIÓN DE COMPONENTES ERM:</t>
  </si>
  <si>
    <t>Pestaña Resumen - Ventana ERM</t>
  </si>
  <si>
    <t>II_14.1</t>
  </si>
  <si>
    <t>El sistema muestra las componentes ERM agrupadas bajo la nueva clasificación definida: Incertidumbre Total, Materialidad y Evaluación de Riesgo de Modelo, reflejando correctamente la nueva estructura.</t>
  </si>
  <si>
    <t>Adicionalmente se debe quitar el campo de la nota de Incertidumbre</t>
  </si>
  <si>
    <t>II_14.2</t>
  </si>
  <si>
    <t>Se elimina el campo nota de incertidumbre ni referencias asociadas en ninguna vista, reporte o componente de la interfaz.</t>
  </si>
  <si>
    <t>II_15</t>
  </si>
  <si>
    <t>ELIMINACIÓN DE CAMPOS DE VALIDACIÓN ESPECÍFICOS:</t>
  </si>
  <si>
    <t>II_15.1</t>
  </si>
  <si>
    <t>Se eliminan los campos "Nota Validación Desarrollo" y "Nota Validación Implementación" de todas las vistas, formularios y reportes, asegurando que no se visualicen en ninguna interfaz del sistema.</t>
  </si>
  <si>
    <t>II_16</t>
  </si>
  <si>
    <t>CONFIGURACIÓN DE COLORES POR MANTENEDOR:</t>
  </si>
  <si>
    <t>II_16.1</t>
  </si>
  <si>
    <t>El sistema permite acceder al mantenedor de colores solo a usuarios con rol GRM_ADMINISTRADOR, mostrando la lista de clasificaciones ERM con sus colores configurados.</t>
  </si>
  <si>
    <t>Deben aparecer los colores para cada clasificación y deben estar por mantenedor</t>
  </si>
  <si>
    <t>II_16.2</t>
  </si>
  <si>
    <t>El administrador puede crear o modificar colores asociados a una clasificación ERM utilizando el color picker o ingresando el código HEX correspondiente.</t>
  </si>
  <si>
    <t>II_16.3</t>
  </si>
  <si>
    <t>El sistema valida que el código de color ingresado tenga formato HEX válido; en caso contrario, impide el guardado hasta que se corrija el valor.</t>
  </si>
  <si>
    <t>II_16.4</t>
  </si>
  <si>
    <t>El sistema valida que no existan duplicados activos por clasificación ERM y que los colores configurados cumplan condiciones de accesibilidad.</t>
  </si>
  <si>
    <t>II_16.5</t>
  </si>
  <si>
    <t>Al guardar cambios, el sistema solicita confirmación mediante la alerta: "¿Está seguro de cambiar el color?" y, tras confirmar, muestra: "Color actualizado exitosamente".</t>
  </si>
  <si>
    <t>II_16.6</t>
  </si>
  <si>
    <t>Los cambios realizados en el mantenedor se reflejan automáticamente en todas las vistas del sistema donde se presentan componentes ERM, mostrando una advertencia previa: "El color puede afectar la legibilidad" cuando corresponda.</t>
  </si>
  <si>
    <t>II_17</t>
  </si>
  <si>
    <t>VISUALIZACIÓN DE SOLO NOTAS FINALES DE VALIDACIÓN:</t>
  </si>
  <si>
    <t>II_17.1</t>
  </si>
  <si>
    <t>Al acceder a la ventana ERM en la pestaña Resumen, el sistema muestra únicamente las notas finales de validación asociadas al modelo, sin incluir notas intermedias o parciales.</t>
  </si>
  <si>
    <t>Bloqueado por la prueba II_10</t>
  </si>
  <si>
    <t>En esta sección sólo se deben mostrar las notas finales de validación</t>
  </si>
  <si>
    <t>II_17.4</t>
  </si>
  <si>
    <t>Si el modelo no tiene una nota final calculada, el sistema muestra la alerta: "Modelo sin nota final calculada", indicando que no existe información disponible.</t>
  </si>
  <si>
    <t>Filiales</t>
  </si>
  <si>
    <t>F_1</t>
  </si>
  <si>
    <t>NUEVO MÓDULO DE FILIALES:</t>
  </si>
  <si>
    <t>GRM_USUARIO_EXTERNO, GRM_REVISOR, GRM_ADMINISTRADOR</t>
  </si>
  <si>
    <t>F_1.1</t>
  </si>
  <si>
    <t>Al acceder al sistema, se visualiza el Módulo de "Filiales" en el menú de opciones de la izquierda de la pantalla</t>
  </si>
  <si>
    <t>2026-05-25</t>
  </si>
  <si>
    <t>Añadir el nuevo módulo de Filiales</t>
  </si>
  <si>
    <t>F_1.2</t>
  </si>
  <si>
    <t>El Módulo de "Filiales" sólo puede ser visible por los Perfiles:</t>
  </si>
  <si>
    <t>F_2</t>
  </si>
  <si>
    <t>INVENTARIO PROPIO DE N FILIALES:</t>
  </si>
  <si>
    <t>F_2.1</t>
  </si>
  <si>
    <t>Los usuarios pueden acceder a consultar las Filiales cargadas, compuestas por la siguiente información:</t>
  </si>
  <si>
    <t>F_2.2</t>
  </si>
  <si>
    <t>Además del listado de Filiales, el usuario puede acceder al detalle de inventario de la Filial, compuesto por la siguiente información:</t>
  </si>
  <si>
    <t>F_2.3</t>
  </si>
  <si>
    <t>El usuario puede Filtrar y buscar la información deseada en las Filiales y su detalle de Inventario</t>
  </si>
  <si>
    <t>F_3</t>
  </si>
  <si>
    <t>CARGA EXCEL DE INVENTARIOS DE FILIALES:</t>
  </si>
  <si>
    <t>F_3.1</t>
  </si>
  <si>
    <t>El usuario puede descargar una planilla en excel con el formato requerido para la carga masiva desde el botón "Descarga Formato"</t>
  </si>
  <si>
    <t>Se debe poder cargar a través, de un archivo Excel los inventarios de los modelos de las filiales, quedando un registro historico de cada una de las N filiales</t>
  </si>
  <si>
    <t>F_3.2</t>
  </si>
  <si>
    <t>El usuario accede a la opción de Carga de Inventario por medio del botón "Nueva Carga"</t>
  </si>
  <si>
    <t>2026-05-26</t>
  </si>
  <si>
    <t>F_3.3</t>
  </si>
  <si>
    <t>El sistema valida la estructura y los datos del archivo, y carga las Filiales al sistema, solicitando acciones según el caso:</t>
  </si>
  <si>
    <t>10/07: No se pueden cargar archivos nuevos, aparece un mensaje de error (ver evidencias)</t>
  </si>
  <si>
    <t>1-jul (NOK - ALTA)</t>
  </si>
  <si>
    <t>F_4</t>
  </si>
  <si>
    <t>VISUALIZACIÓN POST-CARGA DE INVENTARIO:</t>
  </si>
  <si>
    <t>F_4.1</t>
  </si>
  <si>
    <t>Una vez realizada la carga de Filiales, el sistema muestra automáticamente la tabla con los datos cargados</t>
  </si>
  <si>
    <t>Una vez se haya realizado la carga del archivo, se debe visualizar en la plataforma con sus respectivas columnas</t>
  </si>
  <si>
    <t>F_4.2</t>
  </si>
  <si>
    <t>El usuario puede exportar los datos cargados si lo requiere</t>
  </si>
  <si>
    <t>F_5</t>
  </si>
  <si>
    <t>SELECCIÓN DE INSTITUCIÓN DESDE MANTENEDOR:</t>
  </si>
  <si>
    <t>F_5.1</t>
  </si>
  <si>
    <t>Al acceder a la opción "Nueva Carga", el usuario puede seleccionar desde la lista desplegable, el listado de Instituciones cargadas</t>
  </si>
  <si>
    <t>Se debe poder seleccionar la institución, esto debe provenir del mantenedor como lista desplegable</t>
  </si>
  <si>
    <t>F_5.2</t>
  </si>
  <si>
    <t>Al seleccionar la institución, esta queda asociada a la carga de Filiales</t>
  </si>
  <si>
    <t>F_5.3</t>
  </si>
  <si>
    <t>El campo institución es obligatorio</t>
  </si>
  <si>
    <t>F_6</t>
  </si>
  <si>
    <t>CAMPO INSTITUCIÓN:</t>
  </si>
  <si>
    <t>F_6.1</t>
  </si>
  <si>
    <t>Al acceder a la opción "Nueva Carga", el usuario puede visualizar 3 opciones para asociar a la carga:</t>
  </si>
  <si>
    <t>F_7</t>
  </si>
  <si>
    <t>MANTENEDOR DE LISTA DE INSTITUCIÓN:</t>
  </si>
  <si>
    <t>El mantenedor debe permitir Agregar, Modificar y Eliminar lógicamente las instituciones</t>
  </si>
  <si>
    <t>HU se desestima en A&amp;D pero existe mantenedor "FILIALES" y "USR_EXT_X_FILIAL" que funcionan correctamente</t>
  </si>
  <si>
    <t>F_8</t>
  </si>
  <si>
    <t>MANTENEDOR PARA VALORES DEL CAMPO INSTITUCIÓN:</t>
  </si>
  <si>
    <t>F_8.1</t>
  </si>
  <si>
    <t>El mantenedor debe permitir Agregar, Modificar y Eliminar lógicamente los perfiles asociados a cada institución</t>
  </si>
  <si>
    <t>Se debe crear el mantenedor para los valores del campo Institución</t>
  </si>
  <si>
    <t>F_8.2</t>
  </si>
  <si>
    <t>El mantenedor permite asociar perfiles a las distintas Instituciones para que sólo vean las que le corresponden</t>
  </si>
  <si>
    <t>F_9</t>
  </si>
  <si>
    <t>SOLICITUD DE APROBACIÓN EN CARGA DE ARCHIVO:</t>
  </si>
  <si>
    <t>F_9.1</t>
  </si>
  <si>
    <t>El Usuario Externo completa la carga del archivo Excel y solicita la aprobación al Revisor por medio del Botón "Confirmar y Enviar a Revisión"</t>
  </si>
  <si>
    <t>El usuario externo debe poder cargar la información del inventario de la filial, pero debe solicitar aprobación al Revisor previamente en la carga de archivos</t>
  </si>
  <si>
    <t>F_9.2</t>
  </si>
  <si>
    <t>Luego que el Usuario Externo "Confirme y Envíe a Revisión", la solicitud queda en estado "Ingresada"</t>
  </si>
  <si>
    <t>F_10</t>
  </si>
  <si>
    <t>DESCARTE DE CAMBIOS POR REVISOR:</t>
  </si>
  <si>
    <t>F_10.1</t>
  </si>
  <si>
    <t>El Revisor ingresa al módulo para revisar todas las solicitudes en estado "Ingresada", donde podrá "Rechazar" la solicitud, ingresar el motivo de rechazo y se elimina automáticamente la carga asociada. Además, el estado de la solicitud cambia de "Ingresada" a "Rechazada"</t>
  </si>
  <si>
    <t>No solicita Motivo del Rechazo</t>
  </si>
  <si>
    <t>26-may (NOK - MEDIA)</t>
  </si>
  <si>
    <t>El Revisor debe ser capaz de descartar los cambios realizados por el Usuario Externo</t>
  </si>
  <si>
    <t>F_10.2</t>
  </si>
  <si>
    <t>Luego que se rechace la solicitud, el sistema genera una notificación al usuario externo por medio de las notificaciones (Campana)</t>
  </si>
  <si>
    <t>22-jun: Las notificaciones de la campana son visiblespara todos los perfiles</t>
  </si>
  <si>
    <t>26-may (NOK - BAJA)</t>
  </si>
  <si>
    <t>F_11</t>
  </si>
  <si>
    <t>NOTIFICACIÓN DE APROBACIÓN AL REVISOR:</t>
  </si>
  <si>
    <t>F_11.1</t>
  </si>
  <si>
    <t>El Revisor ingresa al módulo para revisar todas las solicitudes en estado "Ingresada", donde podrá "Aprobar" la solicitud para que el estado cambie de "Ingresada" a "Aprobada"</t>
  </si>
  <si>
    <t>Al solicitar una aprobación, el sistema debe enviar una notificación al Revisor mediante la campanita de notificaciones, incorporando acciones para Aprobar o Rechazar.</t>
  </si>
  <si>
    <t>F_11.2</t>
  </si>
  <si>
    <t>Luego que se apruebe la solicitud, el sistema genera una notificación al usuario externo por medio de las notificaciones (Campana)</t>
  </si>
  <si>
    <t>Auditoría</t>
  </si>
  <si>
    <t>Auditoria</t>
  </si>
  <si>
    <t>A_1</t>
  </si>
  <si>
    <t>TRANSFORMACIÓN DE VENTANA POP-UP A PÁGINA COMPLETA</t>
  </si>
  <si>
    <t>Observaciones Auditores y Regulador</t>
  </si>
  <si>
    <t>TODOS EXCEPTO: GRM_USUARIO_AUDITOR, GRM_USUARIO_EXTERNO.</t>
  </si>
  <si>
    <t>A_1.1</t>
  </si>
  <si>
    <t>Al ingresar al módulo, este se puede ver bajo el nombre de "Observaciones Auditores y Regulador"</t>
  </si>
  <si>
    <t>14-may (NOK - MEDIA)</t>
  </si>
  <si>
    <t>EDITAR:</t>
  </si>
  <si>
    <t>A_1.2</t>
  </si>
  <si>
    <t>El módulo (que antes se mostraba como forma de pop-up) ahora se muesta en una página completa con formato estándar</t>
  </si>
  <si>
    <t>El módulo de observaciones de otras áreas debe dejar de ser una ventana pop-up, pasando a ser del mismo formato de los otros módulos y se debe cambiar el nombre a Observaciones Auditores y Regulador</t>
  </si>
  <si>
    <t>A_1.3</t>
  </si>
  <si>
    <t>Al navegar por el módulo, las funcionalidades operan igual que en el formato anterior de pop-up, y los usuarios pueden visualizar la lista y el detalle de las observaciones según su perfil</t>
  </si>
  <si>
    <t>20 mayo: Se realiza prueba cargando obs con el perfil de administrador y revisor. Y acceso a vista seg_ejecutor, seg_aprobador y validador: Resultado OK</t>
  </si>
  <si>
    <t>14-may (NOK - ALTA)</t>
  </si>
  <si>
    <t>A_1.4</t>
  </si>
  <si>
    <t>Pruebas de Continuidad:</t>
  </si>
  <si>
    <t>Cambiar nombre Botón "Ingresar Obs. Otros" del módulo de Registro de Información</t>
  </si>
  <si>
    <t>18-may (NOK - BAJA)</t>
  </si>
  <si>
    <t>A_2</t>
  </si>
  <si>
    <t>VISUALIZACIÓN DE ID MODELO CON VERSIÓN Y NOMBRE</t>
  </si>
  <si>
    <t>Visualizar TODOS, EXCEPTO: GRM_USUARIO_AUDITOR, GRM_USUARIO_EXTERNO.</t>
  </si>
  <si>
    <t>A_2.1</t>
  </si>
  <si>
    <t>Al ingresar al módulo Observaciones Auditores y Regulador, se muestra una tabla con la columna al inicio: "ID modelo - versión - nombre" para poder tener contexto inmediato.</t>
  </si>
  <si>
    <t>20 mayo: OK</t>
  </si>
  <si>
    <t>A_2.2</t>
  </si>
  <si>
    <t>Esta columna permite ser ordenable y filtrable.</t>
  </si>
  <si>
    <t>Observaciones 14-may:</t>
  </si>
  <si>
    <t>14-may (OK CON OBS.)</t>
  </si>
  <si>
    <t>A_2.3</t>
  </si>
  <si>
    <t>El nombre del modelo se muestra truncado si es muy largo, para facilitar la lectura.</t>
  </si>
  <si>
    <t>Cuál es la cantidad máxima de caracteres para truncar?</t>
  </si>
  <si>
    <t>14-may (BLOQUEADO PARA EJECUTAR))</t>
  </si>
  <si>
    <t>A_2.4</t>
  </si>
  <si>
    <t>La versión del modelo de muestra con el formato correcto.</t>
  </si>
  <si>
    <t>20 Mayo: Ok</t>
  </si>
  <si>
    <t>A_2.5</t>
  </si>
  <si>
    <t>De existir error en la consulta, se muestra un mensaje de error.</t>
  </si>
  <si>
    <t>Se requiere evidencia de desarrollo para confirmar control de excepciones y dar por aprobado el caso</t>
  </si>
  <si>
    <t>Mejoras Transversales</t>
  </si>
  <si>
    <t>MT_1</t>
  </si>
  <si>
    <t>EDICIÓN DE IMAGEN/TEXTO DEL BANNER:</t>
  </si>
  <si>
    <t>Inicio</t>
  </si>
  <si>
    <t>MT_1-2.1</t>
  </si>
  <si>
    <t>El usuario con rol Administrador puede acceder al mantenedor de banner, visualizar el contenido actual (título, subtítulo, imagen) y realizar modificaciones sobre dichos campos.</t>
  </si>
  <si>
    <t>2026-07-17</t>
  </si>
  <si>
    <t>MT_2</t>
  </si>
  <si>
    <t>El administrador debe poder ser capaz de editar la imagen/texto de la división que se encuentra en el banner de la plataforma, desde los mantenedores</t>
  </si>
  <si>
    <t>MT_1-2.2</t>
  </si>
  <si>
    <t>El sistema permite cargar o actualizar la imagen del banner validando formatos permitidos (PNG, JPG, GIF) y el tamaño máximo configurado.</t>
  </si>
  <si>
    <t>MT_1-2.3</t>
  </si>
  <si>
    <t>El sistema valida los campos obligatorios (como título), impidiendo guardar la configuración si no se cumple con las restricciones definidas.</t>
  </si>
  <si>
    <t>MT_1-2.4</t>
  </si>
  <si>
    <t>Al guardar cambios válidos, el sistema actualiza la información en la tabla correspondiente y refleja el nuevo banner inmediatamente en la página de inicio para todos los usuarios.</t>
  </si>
  <si>
    <t>MT_1-2.5</t>
  </si>
  <si>
    <t>El sistema presenta una vista previa del banner antes de guardar, permitiendo validar visualmente la configuración ingresada.</t>
  </si>
  <si>
    <t>Desestimada por usuario</t>
  </si>
  <si>
    <t>MT_1-2.6</t>
  </si>
  <si>
    <t>En caso de subir una imagen inválida o realizar cambios sin modificaciones, el sistema gestiona el flujo alternativo correspondiente (rechazo por formato o no ejecución de cambios).</t>
  </si>
  <si>
    <t>MT_3</t>
  </si>
  <si>
    <t>REESTRUCTURACIÓN DEL MENÚ DE NAVEGACIÓN:</t>
  </si>
  <si>
    <t>MT_3.1</t>
  </si>
  <si>
    <t>El sistema muestra el menú de navegación lateral y superior con la nueva estructura definida, incluyendo actualización de nombres y orden de todos los módulos.</t>
  </si>
  <si>
    <t>29/07: el usuario auditor puede meterse a registro información.</t>
  </si>
  <si>
    <t>MT_3.2</t>
  </si>
  <si>
    <t>Cada opción del menú redirige correctamente a la funcionalidad correspondiente, asegurando que todas las páginas siguen siendo accesibles tras la reestructuración.</t>
  </si>
  <si>
    <t>MT_3.3</t>
  </si>
  <si>
    <t>Los breadcrumbs (Rutas de navegación) se actualizan correctamente, reflejando la nueva jerarquía y estructura de navegación en todas las páginas del sistema.</t>
  </si>
  <si>
    <t>MT_3.4</t>
  </si>
  <si>
    <t>El sistema valida que los permisos de acceso por rol se mantengan correctamente tras la restructuración, mostrando solo las opciones de menú autorizadas para cada usuario.</t>
  </si>
  <si>
    <t>MT_4</t>
  </si>
  <si>
    <t>RESTRICCIÓN DE ACCESO POR PERFIL:</t>
  </si>
  <si>
    <t>MT_4.1</t>
  </si>
  <si>
    <t>El sistema valida el perfil del usuario al intentar acceder a un módulo y permite el ingreso únicamente si existe autorización según la configuración de perfiles y módulos.</t>
  </si>
  <si>
    <t>N/A Desarrollar. La implementación de roles es la que se está realizando módulo por módulo, no es que el admin del sistema otorgue asignaciones de roles</t>
  </si>
  <si>
    <t>MT_4.2</t>
  </si>
  <si>
    <t>Si el usuario intenta acceder a un módulo no autorizado, el sistema bloquea el acceso y muestra el mensaje: "Acceso denegado al módulo", evitando la visualización del contenido.</t>
  </si>
  <si>
    <t>MT_4.3</t>
  </si>
  <si>
    <t>El sistema evalúa correctamente la asignación de perfiles del usuario y aplica los permisos según la relación definida en las tablas de perfiles-modulos.</t>
  </si>
  <si>
    <t>MT_4.4</t>
  </si>
  <si>
    <t>El sistema registra los intentos de acceso denegado, permitiendo trazabilidad de accesos no autorizados.</t>
  </si>
  <si>
    <t>MT_4.5</t>
  </si>
  <si>
    <t>El sistema muestra únicamente los módulos autorizados en la navegación, ocultando o deshabilitando las opciones no disponibles para el perfil del usuario.</t>
  </si>
  <si>
    <t>MT_4.6</t>
  </si>
  <si>
    <t>El sistema garantiza consistencia en la aplicación de permisos en todas las páginas y componentes (menú, accesos directos, URLs), evitando accesos por vías alternativas.</t>
  </si>
  <si>
    <t>MT_5</t>
  </si>
  <si>
    <t>CHATBOT CON IA PARA CONSULTAS:</t>
  </si>
  <si>
    <t>Todos los usuarios</t>
  </si>
  <si>
    <t>MT_5.1</t>
  </si>
  <si>
    <t>Desestimada en Etapa de Análisis y Diseño</t>
  </si>
  <si>
    <t>MT_6</t>
  </si>
  <si>
    <t>MANTENEDOR DE TIPO DE CONSULTAS DE DATOS:</t>
  </si>
  <si>
    <t>MT_6.1</t>
  </si>
  <si>
    <t>MT_7</t>
  </si>
  <si>
    <t>MANTENEDOR DE TIPO DE CONSULTAS DE MANUALES:</t>
  </si>
  <si>
    <t>MT_7.1</t>
  </si>
  <si>
    <t>MT_8</t>
  </si>
  <si>
    <t>ELIMINAR SECCIÓN DE NOTICIAS:</t>
  </si>
  <si>
    <t>MT_8.1</t>
  </si>
  <si>
    <t>Al acceder a la página de inicio, el sistema no muestra la sección lateral de Noticias, eliminando completamente la región correspondiente en la interfaz.</t>
  </si>
  <si>
    <t>MT_8.2</t>
  </si>
  <si>
    <t>La eliminación de la sección de noticias se aplica para todos los perfiles de usuario, sin excepciones ni variaciones en la visualización.</t>
  </si>
  <si>
    <t>MT_8.3</t>
  </si>
  <si>
    <t>El sistema mantiene la coherencia del layout de la página tras la eliminación, ajustando correctamente las columnas, espacios y distribución de los componentes restantes.</t>
  </si>
  <si>
    <t>MT_9</t>
  </si>
  <si>
    <t>GRÁFICOS DE INFORMACIÓN DEL INVENTARIO:</t>
  </si>
  <si>
    <t>MT_9.1</t>
  </si>
  <si>
    <t>Al acceder a la página de inicio, el sistema muestra el dashboard con gráficos y tablas que representan la información actualizada del inventario, incluyendo modelos por etapa, por familia y modelos en uso.</t>
  </si>
  <si>
    <t>MT_9.2</t>
  </si>
  <si>
    <t>Los gráficos (barras, dona u otros) muestran correctamente los valores asociados a cada categoría (etapas, familias, funciones de riesgo), reflejando la información obtenida desde las consultas SQL del sistema.</t>
  </si>
  <si>
    <t>29/07: Los valores no cuadran con los resultados  entregados en la descarga de tablas</t>
  </si>
  <si>
    <t>MT_9.3</t>
  </si>
  <si>
    <t>El sistema actualiza los datos de los gráficos automáticamente al cargar la página o mediante refresco, asegurando que la información corresponde al estado actual del inventario.</t>
  </si>
  <si>
    <t>MT_9.4</t>
  </si>
  <si>
    <t>El sistema mantiene tiempos de carga adecuados para la visualización de los gráficos, permitiendo la correcta interacción sin demoras significativas.</t>
  </si>
  <si>
    <t>MT_9.5</t>
  </si>
  <si>
    <t>En caso de no existir datos disponibles, el sistema muestra el mensaje "No hay información disponible", evitando la visualización de gráficos vacíos o inconsistentes.</t>
  </si>
  <si>
    <t>MT_10</t>
  </si>
  <si>
    <t>MOSTRAR FAMILIA EN BUSCADOR DE MODELOS:</t>
  </si>
  <si>
    <t>Información del Inventario</t>
  </si>
  <si>
    <t>MT_10.1</t>
  </si>
  <si>
    <t>Al realizar una búsqueda de modelos, el sistema muestra la columna Familia en los resultados, junto con el resto de atributos del modelo.</t>
  </si>
  <si>
    <t>Familia: Muestra sólo el Nivel 1. Se requiere que muestre la "Familia" como se declaró en la redacción y mockup del TOBE</t>
  </si>
  <si>
    <t>MT_10.2</t>
  </si>
  <si>
    <t>La columna Familia se visualiza consistentemente en todas las funcionalidades donde se consultan modelos (visualización, incorporación de información y selección de modelos).</t>
  </si>
  <si>
    <t>Ídem punto 10.1</t>
  </si>
  <si>
    <t>MT_10.3</t>
  </si>
  <si>
    <t>Las descargas de tablas incluyen correctamente la columna Familia, reflejando la misma información mostrada en pantalla.</t>
  </si>
  <si>
    <t>No se visualiza la columna "Rechazados"</t>
  </si>
  <si>
    <t>MT_10.4</t>
  </si>
  <si>
    <t>El sistema permite utilizar la columna Familia como criterio de filtrado cuando la funcionalidad lo soporte, mostrando resultados acordes al filtro aplicado.</t>
  </si>
  <si>
    <t>MT_10.5</t>
  </si>
  <si>
    <t>El sistema muestra el valor "Sin asignar" para aquellos modelos que no tengan familia asociada, evitando valores nulos en la visualización.</t>
  </si>
  <si>
    <t>Muestra sólo un "-" en caso que no tengan asignación, debe indicar "Sin Asignar" como lo indica el TOBE. Revisar con modelo 1358-1</t>
  </si>
  <si>
    <t>MT_11</t>
  </si>
  <si>
    <t>MANTENEDOR DE COLUMNAS ADICIONALES:</t>
  </si>
  <si>
    <t>MT_11.1</t>
  </si>
  <si>
    <t>El administrador puede acceder al mantenedor de configuración de columnas y visualizar la estructura actual de columnas configuradas para los buscadores.</t>
  </si>
  <si>
    <t>Pasan a Periodo de Garantía</t>
  </si>
  <si>
    <t>MT_11.2</t>
  </si>
  <si>
    <t>El administrador puede definir qué columnas se muestran en el buscador, configurando visibilidad, orden y atributos asociados de cada columna.</t>
  </si>
  <si>
    <t>MT_11.3</t>
  </si>
  <si>
    <t>El sistema aplica correctamente la configuración definida, mostrando las columnas configuradas en los buscadores de modelos en todas las vistas correspondientes.</t>
  </si>
  <si>
    <t>MT_11.4</t>
  </si>
  <si>
    <t>El sistema valida que al menos una columna esté visible y que el orden definido no contenga duplicaciones, impidiendo configuraciones inválidas.</t>
  </si>
  <si>
    <t>MT_11.5</t>
  </si>
  <si>
    <t>El sistema refleja automáticamente los cambios realizados en la configuración al recargar los buscadores, mostrando la nueva estructura de columnas.</t>
  </si>
  <si>
    <t>MT_12</t>
  </si>
  <si>
    <t>SELECCIÓN DE NOTIFICACIONES POR CORREO:</t>
  </si>
  <si>
    <t>General</t>
  </si>
  <si>
    <t>MT_12.1</t>
  </si>
  <si>
    <t>El usuario puede acceder a la configuración de notificaciones y seleccionar cuáles desea recibir por correo electrónico, activando o desactivando la opción correspondiente.</t>
  </si>
  <si>
    <t>Desestimada durante UAT</t>
  </si>
  <si>
    <t>MT_12.2</t>
  </si>
  <si>
    <t>El sistema guarda correctamente las preferencias de notificación por usuario y tipo, aplicando la configuración definida en envíos posteriores.</t>
  </si>
  <si>
    <t>MT_12.3</t>
  </si>
  <si>
    <t>Cuando ocurre una notificación configurada para envío por correo, el sistema envía el correo electrónico al usuario y muestra la alerta: "Notificación enviada a Email".</t>
  </si>
  <si>
    <t>MT_12.4</t>
  </si>
  <si>
    <t>El sistema respeta las preferencias configuradas, evitando el envío de correos para tipos de notificación no seleccionados por el usuario.</t>
  </si>
  <si>
    <t>MT_12.5</t>
  </si>
  <si>
    <t>El sistema valida que el usuario tenga un correo electrónico válido en su perfil antes de enviar notificaciones, evitando errores en el proceso de envío.</t>
  </si>
  <si>
    <t>MT_13</t>
  </si>
  <si>
    <t>CORREO DE VENCIMIENTOS DE VALIDACIÓN:</t>
  </si>
  <si>
    <t>MT_13.1</t>
  </si>
  <si>
    <t>El sistema ejecuta automáticamente el proceso de envío de correos el primer día hábil del mes, conforme a la programación definida.</t>
  </si>
  <si>
    <t>Debe ejecutarse diariamente hasta que se apruebe, ya que no se puede esperar hasta el 1er día hábil del mes</t>
  </si>
  <si>
    <t>MT_13.2</t>
  </si>
  <si>
    <t>El sistema identifica correctamente las observaciones de validación vigentes (no cerradas, no resueltas, no solucionadas) con fecha de vencimiento dentro del mes en curso.</t>
  </si>
  <si>
    <t>MT_13.3</t>
  </si>
  <si>
    <t>El sistema genera el contenido del correo incluyendo la información de observaciones por vencer, respetando el formato definido en la solución técnica.</t>
  </si>
  <si>
    <t>MT_13.4</t>
  </si>
  <si>
    <t>El sistema envía el correo a los usuarios con rol GRM_REVISOR, asegurando que los destinatarios corresponden a la configuración de roles definida.</t>
  </si>
  <si>
    <t>MT_13.5</t>
  </si>
  <si>
    <t>El sistema registra correctamente cada envío en la tabla de log (MRM_LOG_ENVIO_CORREOS), permitiendo la trazabilidad del proceso ejecutado.</t>
  </si>
  <si>
    <t>MT_13.6</t>
  </si>
  <si>
    <t>En caso de no existir observaciones por vencer, el sistema no envía correo y registra la ejecución del proceso sin resultados.</t>
  </si>
  <si>
    <t>MT_14</t>
  </si>
  <si>
    <t>CORREO DE VENCIMIENTOS DE SEGUIMIENTO:</t>
  </si>
  <si>
    <t>MT_14.1</t>
  </si>
  <si>
    <t>El sistema ejecuta automáticamente el job de envío de correos el primer día hábil del mes, conforme a la programación definida para el proceso de seguimiento.</t>
  </si>
  <si>
    <t>MT_14.2</t>
  </si>
  <si>
    <t>El sistema identifica correctamente las observaciones de seguimiento vigentes con fecha de próximo seguimiento, dentro del mes en curso.</t>
  </si>
  <si>
    <t>MT_14.3</t>
  </si>
  <si>
    <t>El sistema genera el contenido del correo incluyendo las observaciones de seguimiento por vencer, respetando el formato definido en la solución técnica.</t>
  </si>
  <si>
    <t>MT_14.4</t>
  </si>
  <si>
    <t>El sistema envía el correo a los usuarios con rol GRM_REVISOR, asegurando que los destinatarios son correctos según la configuración del sistema.</t>
  </si>
  <si>
    <t>MT_14.5</t>
  </si>
  <si>
    <t>En caso de no existir observaciones de seguimiento por vencer, el sistema no envía correo y registra la ejecución del proceso sin resultados.</t>
  </si>
  <si>
    <t>MT_15</t>
  </si>
  <si>
    <t>CORREO DE VENCIMIENTOS DE CONTROL:</t>
  </si>
  <si>
    <t>MT_15.1</t>
  </si>
  <si>
    <t>El sistema ejecuta automáticamente el job de envío de correos el primer día hábil del mes, conforme a la programación definida para el proceso de control.</t>
  </si>
  <si>
    <t>MT_15.2</t>
  </si>
  <si>
    <t>El sistema genera el contenido del correo incluyendo las observaciones de control por vencer, respetando el formato definido en la solución técnica.</t>
  </si>
  <si>
    <t>MT_15.3</t>
  </si>
  <si>
    <t>El sistema envía el correo a los usuarios con rol GRM_REVISOR, asegurando la correcta asignación de destinatarios.</t>
  </si>
  <si>
    <t>MT_15.4</t>
  </si>
  <si>
    <t>En caso de no existir observaciones de control por vencer, el sistema no envía correo y registra la ejecución del proceso sin resultados.</t>
  </si>
  <si>
    <t>MT_16</t>
  </si>
  <si>
    <t>CORREO DE VENCIMIENTOS DE AUDITORÍA:</t>
  </si>
  <si>
    <t>Auditores y Regulador</t>
  </si>
  <si>
    <t>MT_16.1</t>
  </si>
  <si>
    <t>El sistema ejecuta automáticamente el job de envío de correos el primer día hábil del mes, conforme a la programación definida para auditoría.</t>
  </si>
  <si>
    <t>MT_16.2</t>
  </si>
  <si>
    <t>El sistema identifica correctamente las observaciones de Auditores y Regulador que vencen en el mes en curso</t>
  </si>
  <si>
    <t>MT_16.3</t>
  </si>
  <si>
    <t>El sistema genera el contenido del correo incluyendo las observaciones de auditoría por vencer, respetando el formato definido en la solución técnica.</t>
  </si>
  <si>
    <t>MT_16.4</t>
  </si>
  <si>
    <t>MT_16.5</t>
  </si>
  <si>
    <t>En caso de no existir observaciones de auditoría por vencer, el sistema no envía correo y registra la ejecución del proceso sin resultados.</t>
  </si>
  <si>
    <t>MT_17</t>
  </si>
  <si>
    <t>INFORME DE MODELOS PARA COMITÉ TÉCNICO:</t>
  </si>
  <si>
    <t>MT_17.1</t>
  </si>
  <si>
    <t>MT_18</t>
  </si>
  <si>
    <t>FILTROS EN DESCARGAS DE TABLAS:</t>
  </si>
  <si>
    <t>MT_18.1</t>
  </si>
  <si>
    <t>MT_19</t>
  </si>
  <si>
    <t>ELIMINACIÓN LÓGICA DE REGISTROS:</t>
  </si>
  <si>
    <t>MT_19.1</t>
  </si>
  <si>
    <t>El usuario con rol Administrador puede ejecutar la opción de eliminación sobre distintos tipos de registros (modelos, documentos, observaciones, informes), iniciando el proceso de borrado lógico desde la interfaz correspondiente.</t>
  </si>
  <si>
    <t>MT_19.3</t>
  </si>
  <si>
    <t>Los registros eliminados lógicamente dejan de mostrarse en todas las consultas, reportes y vistas del sistema</t>
  </si>
  <si>
    <t>MT_19.4</t>
  </si>
  <si>
    <t>El sistema valida restricciones de negocio antes de eliminar, evitando la operación en registros con dependencias activas y gestionando el flujo alternativo correspondiente.</t>
  </si>
  <si>
    <t>MT_19.5</t>
  </si>
  <si>
    <t>El sistema muestra los mensajes correspondientes al resultado de la operación, incluyendo confirmación de éxito ("Registro eliminado correctamente") o error en caso de falla.</t>
  </si>
  <si>
    <t>MT_20</t>
  </si>
  <si>
    <t>DESCARGA DE PRÓRROGA EN VALIDACIÓN:</t>
  </si>
  <si>
    <t>MT_20.1</t>
  </si>
  <si>
    <t>Una vez finalizado el formulario de prórroga, el sistema permite generar y descargar el documento correspondiente desde la funcionalidad disponible.</t>
  </si>
  <si>
    <t>MT_20.2</t>
  </si>
  <si>
    <t>El sistema genera correctamente el documento de prórroga utilizando la plantilla configurada, incluyendo todos los campos definidos (fechas, modelo, justificación, etc.).</t>
  </si>
  <si>
    <t>MT_20.3</t>
  </si>
  <si>
    <t>El sistema permite descargar el documento en los formatos disponibles (HTML y/o PDF), generando el archivo de forma completa y consistente.</t>
  </si>
  <si>
    <t>MT_20.4</t>
  </si>
  <si>
    <t>El sistema muestra el resultado del proceso mediante los mensajes correspondientes, confirmando generación exitosa o indicando error en caso de falla o timeout.</t>
  </si>
  <si>
    <t>MT_21</t>
  </si>
  <si>
    <t>DESCARGA DE PRÓRROGA EN SEGUIMIENTO:</t>
  </si>
  <si>
    <t>MT_21.1</t>
  </si>
  <si>
    <t>Una vez completado y guardado el formulario de prórroga, el sistema permite generar y descargar el documento desde la opción disponible en la interfaz.</t>
  </si>
  <si>
    <t>MT_21.2</t>
  </si>
  <si>
    <t>El sistema genera correctamente el documento utilizando la plantilla configurada, incluyendo los campos definidos del formulario (fechas, modelo, justificación, entre otros).</t>
  </si>
  <si>
    <t>MT_21.3</t>
  </si>
  <si>
    <t>El sistema permite descargar el documento en los formatos disponibles (HTML, PDF o Word según corresponda), generando el archivo de forma completa y consistente.</t>
  </si>
  <si>
    <t>MT_21.4</t>
  </si>
  <si>
    <t>El sistema muestra el resultado del proceso mediante el mensaje definido ("Documento generado") o gestiona el error en caso de falla o timeout.</t>
  </si>
  <si>
    <t>MT_22</t>
  </si>
  <si>
    <t>VISUALIZACIÓN DE LOG DE CAMBIOS:</t>
  </si>
  <si>
    <t>MT_22.1</t>
  </si>
  <si>
    <t>El usuario con rol Administrador puede acceder al módulo de visualización de logs y consultar el historial de cambios de cualquier registro del sistema.</t>
  </si>
  <si>
    <t>MT_22.2</t>
  </si>
  <si>
    <t>El sistema permite realizar búsquedas y filtros sobre los logs (por tabla, ID de registro, usuario, fecha o tipo de acción), mostrando resultados acordes a los criterios seleccionados.</t>
  </si>
  <si>
    <t>MT_22.3</t>
  </si>
  <si>
    <t>El sistema muestra el detalle completo de cada cambio, incluyendo acción realizada, usuario, fecha, valores anteriores y nuevos, permitiendo la comparación en caso de actualizaciones.</t>
  </si>
  <si>
    <t>MT_22.4</t>
  </si>
  <si>
    <t>El sistema permite exportar el historial de logs a formatos disponibles (Excel o PDF), manteniendo la información consistente con la visualizada en pantalla.</t>
  </si>
  <si>
    <t>MT_22.5</t>
  </si>
  <si>
    <t>En caso de no existir registros para los criterios de búsqueda, el sistema muestra un mensaje informativo sin presentar datos inconsistentes.</t>
  </si>
  <si>
    <t>MT_23</t>
  </si>
  <si>
    <t>MEJORAS VISUALES: CARACTERES EN CAMPOS:</t>
  </si>
  <si>
    <t>MT_23.1</t>
  </si>
  <si>
    <t>El sistema muestra un contador de caracteres en los campos de texto (simples, textarea y rich text), indicando la cantidad utilizada respecto al límite definido.</t>
  </si>
  <si>
    <t>MT_23.2</t>
  </si>
  <si>
    <t>El contador de caracteres se actualiza en tiempo real a medida que el usuario ingresa o elimina contenido, reflejando correctamente el número de caracteres utilizados.</t>
  </si>
  <si>
    <t>MT_23.3</t>
  </si>
  <si>
    <t>El sistema mantiene la funcionalidad existente de los formularios, validando también a nivel servidor los límites de caracteres sin afectar el flujo normal de ingreso de datos.</t>
  </si>
  <si>
    <t>MT_23.4</t>
  </si>
  <si>
    <t>El indicador visual (por ejemplo cambio de color u otra señalización) se comporta correctamente cuando el usuario se aproxima o supera el límite de caracteres definido.</t>
  </si>
  <si>
    <t>MT_24</t>
  </si>
  <si>
    <t>MARCAJE MASIVO DE NOTIFICACIONES:</t>
  </si>
  <si>
    <t>MT_24.1</t>
  </si>
  <si>
    <t>El usuario puede seleccionar una o más notificaciones mediante checkboxes y ejecutar la acción de marcarlas como leídas desde la interfaz.</t>
  </si>
  <si>
    <t>MT_24.2</t>
  </si>
  <si>
    <t>El sistema permite marcar todas las notificaciones como leídas en una sola acción, actualizando el estado de cada una correctamente.</t>
  </si>
  <si>
    <t>MT_24.3</t>
  </si>
  <si>
    <t>El sistema valida que las notificaciones seleccionadas pertenezcan al usuario autenticado antes de realizar la actualización.</t>
  </si>
  <si>
    <t>MT_24.4</t>
  </si>
  <si>
    <t>El sistema muestra el resultado de la operación mediante el mensaje definido ("X notificaciones marcadas como leídas") o no realiza cambios cuando no existen notificaciones pendientes.</t>
  </si>
  <si>
    <t>MT_25</t>
  </si>
  <si>
    <t>MEJORAS VISUALES: TOOLTIPS:</t>
  </si>
  <si>
    <t>MT_25.1</t>
  </si>
  <si>
    <t>El sistema muestra un tooltip descriptivo al posicionar el cursor sobre el ícono de ayuda asociado a los campos del formulario, presentando información contextual correspondiente.</t>
  </si>
  <si>
    <t>MT_25.2</t>
  </si>
  <si>
    <t>El contenido del tooltip se obtiene desde el mantenedor configurado, permitiendo visualizar descripciones consistentes para cada campo definido.</t>
  </si>
  <si>
    <t>MT_25.3</t>
  </si>
  <si>
    <t>El sistema muestra correctamente los tooltips en distintos tipos de campos (texto simple, textarea, contenido enriquecido), sin afectar la interacción del formulario.</t>
  </si>
  <si>
    <t>MT_25.4</t>
  </si>
  <si>
    <t>El sistema valida que el contenido del tooltip sea adecuado (no excesivamente largo o inválido) y asegura una visualización correcta y legible para el usuario.</t>
  </si>
  <si>
    <t>MT_26</t>
  </si>
  <si>
    <t>FORMATO DE FECHA MES-AÑO:</t>
  </si>
  <si>
    <t>MT_26.1</t>
  </si>
  <si>
    <t>El sistema muestra las fechas en las tablas y reportes con formato visual MM-AAAA, aplicándolo de forma consistente en todos los módulos donde corresponda.</t>
  </si>
  <si>
    <t>MT_26.2</t>
  </si>
  <si>
    <t>El sistema mantiene el formato completo de fecha (DD/MM/YYYY u otro original) en las exportaciones (Excel, PDF u otras), sin afectar la descarga de datos.</t>
  </si>
  <si>
    <t>MT_26.3</t>
  </si>
  <si>
    <t>El sistema aplica el formato únicamente a nivel visual, sin alterar el valor real almacenado en la base de datos ni afectar cálculos o lógica funcional.</t>
  </si>
  <si>
    <t>MT_26.4</t>
  </si>
  <si>
    <t>El sistema respeta las excepciones definidas (por ejemplo fechas con hora o campos específicos), mostrando el formato adecuado cuando corresponda.</t>
  </si>
  <si>
    <t>MT_27</t>
  </si>
  <si>
    <t>NOTIFICACIONES DE VALIDACIÓN AL REVISOR:</t>
  </si>
  <si>
    <t>MT_27.1</t>
  </si>
  <si>
    <t>Cuando se genera una notificación relacionada a observaciones en validación, el sistema incluye automáticamente al rol GRM_REVISOR y GRM_ADMINISTRADOR como destinatarios adicionales.</t>
  </si>
  <si>
    <t>MT_27.2</t>
  </si>
  <si>
    <t>El sistema mantiene los destinatarios originales de la notificación, evitando afectar el comportamiento existente al agregar nuevos destinatarios.</t>
  </si>
  <si>
    <t>MT_27.3</t>
  </si>
  <si>
    <t>El sistema evita la generación de notificaciones duplicadas al incluir al revisor, garantizando un único registro por evento y usuario.</t>
  </si>
  <si>
    <t>MT_27.4</t>
  </si>
  <si>
    <t>El revisor visualiza correctamente las notificaciones en la interfaz del sistema, asegurando que el evento generado en validación sea visible en su panel de notificaciones.</t>
  </si>
  <si>
    <t>MT_28</t>
  </si>
  <si>
    <t>MARCAJE MASIVO DE NOTIFICACIONES (REPETIDA):</t>
  </si>
  <si>
    <t>MT_28.1</t>
  </si>
  <si>
    <t>MT_29</t>
  </si>
  <si>
    <t>PAUSAR VALIDACIONES CONTINUAS:</t>
  </si>
  <si>
    <t>Registrar Información</t>
  </si>
  <si>
    <t>MT_29.1</t>
  </si>
  <si>
    <t>El sistema permite pausar una validación continua asociada a un modelo en estado En Uso, habilitando el ingreso del motivo obligatorio para ejecutar la acción.</t>
  </si>
  <si>
    <t>MT_29.2</t>
  </si>
  <si>
    <t>El sistema valida el ingreso del motivo de pausa antes de procesar la solicitud, impidiendo continuar con la operación cuando la información requerida no ha sido informada.</t>
  </si>
  <si>
    <t>MT_29.3</t>
  </si>
  <si>
    <t>El sistema muestra la advertencia "Validación ya está pausada" cuando se intenta ejecutar una acción de pausa sobre una validación que ya se encuentra en dicho estado.</t>
  </si>
  <si>
    <t>MT_29.4</t>
  </si>
  <si>
    <t>El sistema permite reanudar una validación previamente pausada, reactivando correctamente los procesos automáticos asociados a la validación continua.</t>
  </si>
  <si>
    <t>MT_29.5</t>
  </si>
  <si>
    <t>El sistema restringe las acciones de pausa y reanudación de validaciones para usuarios que no cuentan con perfil de revisor o administrador, impidiendo el acceso a estas funcionalidades.</t>
  </si>
  <si>
    <t>MT_30</t>
  </si>
  <si>
    <t>ACTUALIZACIÓN DE FAMILIAS EN MÓDULOS:</t>
  </si>
  <si>
    <t>Sistema (Automático) / Administrador</t>
  </si>
  <si>
    <t>MT_30.1</t>
  </si>
  <si>
    <t>El sistema detecta la modificación de una familia o subfamilia y actualiza automáticamente todos los modelos afectados por el cambio.</t>
  </si>
  <si>
    <t>MT_30.2</t>
  </si>
  <si>
    <t>El sistema muestra la advertencia "Se actualizarán X registros" antes de ejecutar la propagación, indicando la cantidad de registros impactados por la modificación realizada.</t>
  </si>
  <si>
    <t>MT_30.3</t>
  </si>
  <si>
    <t>El sistema informa el mensaje "X registros actualizados" al finalizar exitosamente la propagación, permitiendo visualizar los cambios reflejados en modelos, observaciones y reportes históricos afectados.</t>
  </si>
  <si>
    <t>MT_30.4</t>
  </si>
  <si>
    <t>El sistema revierte los cambios realizados durante el proceso de actualización en cascada cuando se presenta un error, notificando correctamente la falla de propagación al usuario.</t>
  </si>
  <si>
    <t>MT_31</t>
  </si>
  <si>
    <t>CAMBIOS EN MANTENEDORES NO RETROACTIVOS:</t>
  </si>
  <si>
    <t>MT_31.1</t>
  </si>
  <si>
    <t>El sistema genera obligatoriamente un snapshot de respaldo antes de permitir la aplicación de cambios sobre un mantenedor, resguardando la información vigente.</t>
  </si>
  <si>
    <t>MT_31.2</t>
  </si>
  <si>
    <t>El sistema aplica los valores actualizados del mantenedor a los registros creados con posterioridad a la modificación, asegurando el uso de la configuración vigente.</t>
  </si>
  <si>
    <t>MT_31.3</t>
  </si>
  <si>
    <t>El sistema conserva los valores originales del mantenedor en los registros existentes previos a la modificación, evitando afectaciones por cambios posteriores.</t>
  </si>
  <si>
    <t>MT_31.4</t>
  </si>
  <si>
    <t>El sistema muestra la advertencia "Snapshot realizado. Cambios no afectarán registros existentes" antes de finalizar la modificación del mantenedor, informando el alcance de los cambios aplicados.</t>
  </si>
  <si>
    <t>MT_31.5</t>
  </si>
  <si>
    <t>El sistema informa el mensaje "Snapshot guardado, cambios aplicados" al completar exitosamente la actualización, asegurando la integridad de los datos asociados al mantenedor.</t>
  </si>
  <si>
    <t>MT_31.6</t>
  </si>
  <si>
    <t>El sistema notifica el error ocurrido durante la generación del snapshot y evita la aplicación de modificaciones al mantenedor cuando no es posible completar correctamente el respaldo.</t>
  </si>
  <si>
    <t>MT_32</t>
  </si>
  <si>
    <t>MENSAJE AL CERRAR FORMULARIO SIN GUARDAR:</t>
  </si>
  <si>
    <t>MT_32.1</t>
  </si>
  <si>
    <t>El sistema muestra un mensaje de confirmación de cierre al intentar salir de un formulario con modificaciones no guardadas, advirtiendo al usuario sobre la existencia de cambios pendientes.</t>
  </si>
  <si>
    <t>MT_32.2</t>
  </si>
  <si>
    <t>El sistema mantiene abierto el formulario y conserva los cambios realizados cuando el usuario selecciona la opción "Volver a guardar" en el mensaje de confirmación de cierre.</t>
  </si>
  <si>
    <t>MT_32.3</t>
  </si>
  <si>
    <t>El sistema cierra el formulario y descarta los cambios no guardados cuando el usuario selecciona la opción "Cerrar sin guardar" en el mensaje de confirmación.</t>
  </si>
  <si>
    <t>MT_33</t>
  </si>
  <si>
    <t>CAMPOS EXTRAS OCULTOS EN FORMULARIOS:</t>
  </si>
  <si>
    <t>MT_33.1</t>
  </si>
  <si>
    <t>El sistema muestra dinámicamente un nuevo campo adicional en el formulario correspondiente cuando este ha sido configurado como visible para una pantalla determinada.</t>
  </si>
  <si>
    <t>MT_33.2</t>
  </si>
  <si>
    <t>El sistema oculta el campo adicional en el formulario configurado cuando el indicador de visibilidad se encuentra desactivado.</t>
  </si>
  <si>
    <t>MT_33.3</t>
  </si>
  <si>
    <t>El sistema almacena correctamente la información ingresada en un campo adicional de texto libre, permitiendo su visualización al consultar el registro asociado.</t>
  </si>
  <si>
    <t>MT_33.4</t>
  </si>
  <si>
    <t>El sistema impide la creación de campos adicionales con nombres ya existentes, evitando configuraciones duplicadas en el mantenedor.</t>
  </si>
  <si>
    <t>MT_34</t>
  </si>
  <si>
    <t>CARGA DE RESPONSABLE DE EXPLOTACIÓN:</t>
  </si>
  <si>
    <t>MT_34.1</t>
  </si>
  <si>
    <t>El sistema permite registrar un Responsable de Explotación válido para un modelo, almacenando correctamente la información asociada al registro.</t>
  </si>
  <si>
    <t>MT_34.2</t>
  </si>
  <si>
    <t>El sistema actualiza el Responsable de Explotación de un modelo cuando se modifica el valor existente, manteniendo correctamente la asociación con el registro correspondiente.</t>
  </si>
  <si>
    <t>MT_34.3</t>
  </si>
  <si>
    <t>Se visualiza el Responsable de Explotación del modelo en la tabla T_PPAL</t>
  </si>
  <si>
    <t>MT_35</t>
  </si>
  <si>
    <t>CARGA DE TIPO DE ENFOQUE:</t>
  </si>
  <si>
    <t>MT_35.1</t>
  </si>
  <si>
    <t>El sistema permite seleccionar un Tipo de Enfoque válido definido en el mantenedor correspondiente, permitiendo el registro exitoso de la observación de validación.</t>
  </si>
  <si>
    <t>MT_35.2</t>
  </si>
  <si>
    <t>El sistema muestra únicamente los valores de Tipo de Enfoque definidos en el mantenedor correspondiente, asegurando la consistencia de las opciones disponibles para selección.</t>
  </si>
  <si>
    <t>MT_35.3</t>
  </si>
  <si>
    <t>Se visualiza el Responsable de Explotación del modelo en la tabla T_OBS_VAL</t>
  </si>
  <si>
    <t>MT_36</t>
  </si>
  <si>
    <t>MANTENEDORES DE PLANTILLAS DE OBSERVACIONES:</t>
  </si>
  <si>
    <t>MT_36.1</t>
  </si>
  <si>
    <t>El sistema permite crear una plantilla de observación ingresando módulo, nombre, descripción, archivo válido y estado activo, almacenando correctamente la configuración definida.</t>
  </si>
  <si>
    <t>MT_36.2</t>
  </si>
  <si>
    <t>El sistema actualiza correctamente la información de una plantilla de observación existente cuando se modifican atributos como nombre, descripción o archivo asociado.</t>
  </si>
  <si>
    <t>MT_36.3</t>
  </si>
  <si>
    <t>El sistema valida la unicidad del nombre de la plantilla dentro del mismo módulo, impidiendo el registro de configuraciones duplicadas.</t>
  </si>
  <si>
    <t>MT_36.4</t>
  </si>
  <si>
    <t>El sistema permite asociar archivos de plantilla en formatos válidos (RTF, HTML o DOCX), almacenándolos correctamente junto a la plantilla creada.</t>
  </si>
  <si>
    <t>MT_36.5</t>
  </si>
  <si>
    <t>El sistema muestra la información configurada de una plantilla registrada y permite visualizar correctamente la vista previa del archivo asociado.</t>
  </si>
  <si>
    <t>MT_37</t>
  </si>
  <si>
    <t>GLOBO DE DESCRIPCIÓN DE CAMPOS:</t>
  </si>
  <si>
    <t>MT_37.1</t>
  </si>
  <si>
    <t>Posicionar el cursor sobre el ícono "?" de un campo configurado y verificar que se muestre el tooltip con la descripción definida en el mantenedor.</t>
  </si>
  <si>
    <t>MT_37.2</t>
  </si>
  <si>
    <t>Configurar o modificar una descripción desde el mantenedor y validar que el tooltip refleje el nuevo contenido en la aplicación.</t>
  </si>
  <si>
    <t>MT_37.3</t>
  </si>
  <si>
    <t>Verificar que un campo sin descripción activa no muestre contenido distinto al configurado ni información incorrecta al posicionar el cursor.</t>
  </si>
  <si>
    <t>MT_37.4</t>
  </si>
  <si>
    <t>Registrar una descripción con formato HTML básico permitido y validar que el tooltip la visualice correctamente.</t>
  </si>
  <si>
    <t>MT_37.5</t>
  </si>
  <si>
    <t>Acceder a distintos formularios de la aplicación y verificar que los campos configurados presenten su tooltip descriptivo de forma consistente.</t>
  </si>
  <si>
    <t>MT_38</t>
  </si>
  <si>
    <t>VISUALIZACIÓN DE FUNCIONALIDADES POR ADMIN:</t>
  </si>
  <si>
    <t>MT_38.1</t>
  </si>
  <si>
    <t>El sistema muestra todas las opciones del menú disponibles para el perfil GRM_ADMINISTRADOR, permitiendo el acceso a cada una de las funcionalidades habilitadas.</t>
  </si>
  <si>
    <t>MT_38.2</t>
  </si>
  <si>
    <t>El sistema muestra todos los módulos, pantallas y funcionalidades disponibles al perfil GRM_ADMINISTRADOR, garantizando una visualización completa durante la navegación de la plataforma.</t>
  </si>
  <si>
    <t>MT_39</t>
  </si>
  <si>
    <t>ACTIVACIÓN DE PILOTO POR ETAPA:</t>
  </si>
  <si>
    <t>MT_39.1</t>
  </si>
  <si>
    <t>El sistema permite activar la opción Piloto para un modelo en cualquier etapa</t>
  </si>
  <si>
    <t>MT_39.3</t>
  </si>
  <si>
    <t>El sistema muestra el indicador de Piloto activo junto con la etapa seleccionada al consultar nuevamente el modelo, reflejando la información previamente registrada.</t>
  </si>
  <si>
    <t>MT_39.4</t>
  </si>
  <si>
    <t>El sistema permite desactivar la opción Piloto de un modelo previamente configurado, registrando correctamente la actualización y preservando la lógica de etapas definida para el modelo.</t>
  </si>
  <si>
    <t>MT_39.5</t>
  </si>
  <si>
    <t>La activación o desactivación del Piloto será reflejada en la tabla T_PPAL</t>
  </si>
  <si>
    <t>Registro Información</t>
  </si>
  <si>
    <t>Pruebas Transversales</t>
  </si>
  <si>
    <t>Todas</t>
  </si>
  <si>
    <t>RI_0_1</t>
  </si>
  <si>
    <t>Los atributos de los campos son los definidos en el documento de Análisis y Diseño: Largos de campo, Tipo de datos y Obligatoriedad/Opcional</t>
  </si>
  <si>
    <t>2026-04-30</t>
  </si>
  <si>
    <t>30-abr: Se acuerda con usuario dar por OK</t>
  </si>
  <si>
    <t>16-feb (NOK - BAJA)</t>
  </si>
  <si>
    <t>2026-03-06</t>
  </si>
  <si>
    <t>5-feb (NOK - BAJA)</t>
  </si>
  <si>
    <t>RI_0_2</t>
  </si>
  <si>
    <t>Las Validaciones y alertas son las definidas en el documento de Análisis y Diseño: Alerta para campos obligatorios o con formato específico (ej. sólo números), Mensajes de validación y momento de validación (al ingresar dato o al guardar el formulario)</t>
  </si>
  <si>
    <t>2026-03-30</t>
  </si>
  <si>
    <t>Se dará por OK una vez confirmen todos los otros casos de prueba</t>
  </si>
  <si>
    <t>RI_0_3</t>
  </si>
  <si>
    <t>Los perfiles pueden acceder a las pantallas y funcionalidades definidas en el documento de Análisis y Diseño</t>
  </si>
  <si>
    <t>04/08: No es posible generar implementaciones adicionales</t>
  </si>
  <si>
    <t>RI_0_4_1</t>
  </si>
  <si>
    <t>La vista T_PPAL está actualizada con los campos nuevos y eliminados</t>
  </si>
  <si>
    <t>28/05: Falta el responsable del despliegue y Fecha Entrada en Uso (deseable ponerlo en MON_FECHA cambiandole el nombre)</t>
  </si>
  <si>
    <t>2026-04-09</t>
  </si>
  <si>
    <t>RI_0_4_2</t>
  </si>
  <si>
    <t>La vista T_Usuarios está actualizada con los campos nuevos</t>
  </si>
  <si>
    <t>20/03: La descarga de la tabla T_Usuarios no incluye los campos nuevos agregados:</t>
  </si>
  <si>
    <t>09-abr</t>
  </si>
  <si>
    <t>RI_0_5</t>
  </si>
  <si>
    <t>El aplicativo debe autoajustarse al tamaño de la ventana</t>
  </si>
  <si>
    <t>2026-02-16</t>
  </si>
  <si>
    <t>05/02: 1.- Al achicar la ventana del navegador, el formulario no se ajusta</t>
  </si>
  <si>
    <t>RI_0_6</t>
  </si>
  <si>
    <t>Los Mantenedores permiten ingresar/editar/eliminar nuevas opciones, sin duplicar los datos</t>
  </si>
  <si>
    <t>2026-03-03</t>
  </si>
  <si>
    <t>3-mar:</t>
  </si>
  <si>
    <t>03-mar (NOK _ ALTA)</t>
  </si>
  <si>
    <t>2026-03-02</t>
  </si>
  <si>
    <t>RI_0_7</t>
  </si>
  <si>
    <t>Los campos deben de quedar bloqueados para todos los usuarios al enviar a revisión</t>
  </si>
  <si>
    <t>16/02: Al enviar a revisión los formularios, lo usuaqrios siguen poder editando</t>
  </si>
  <si>
    <t>16-feb (NOK _ ALTA)</t>
  </si>
  <si>
    <t>RI_0_8</t>
  </si>
  <si>
    <t>El revisor debe poder enviar a reparar los formularios, esto hace que los perfiles se les desbloqueen los campos para volver a editarlos</t>
  </si>
  <si>
    <t>3-mar: Se confirma funcionalidad de reparación del formulario para la etapa de desarrollo.</t>
  </si>
  <si>
    <t>16-feb (NOK - ALTA)</t>
  </si>
  <si>
    <t>RI_1</t>
  </si>
  <si>
    <t>Para los revisores y en la tabla T_Ppal, debe aparecer la cantidad de días que lleva el modelo/metodología en la etapa activa</t>
  </si>
  <si>
    <t>RI_1_1</t>
  </si>
  <si>
    <t>El contador de días se visualiza sólo para las etapas activas de un modelo activo</t>
  </si>
  <si>
    <t>POSTERGADO</t>
  </si>
  <si>
    <t>Depende de Funcionalidad Línea de Tiempo</t>
  </si>
  <si>
    <t>RI_1_2</t>
  </si>
  <si>
    <t>Modelos Activos sin etapa re-activada: Se contabilizan días hábiles desde la entrada en vigencia de una etapa</t>
  </si>
  <si>
    <t>2026-02-17</t>
  </si>
  <si>
    <t>RI_1_3</t>
  </si>
  <si>
    <t>Etapas Re-activadas: Se contabilizan días hábiles desde la fecha de re-activación de la etapa</t>
  </si>
  <si>
    <t>RI_1_4</t>
  </si>
  <si>
    <t>Modelos Caducos o Etapa finalizada: No se visualiza contador de días ni leyendas asociadas al contador de días</t>
  </si>
  <si>
    <t>RI_1_5</t>
  </si>
  <si>
    <t>Excepciones/Casos de Borde: Pueden haber 2 o más etapas activas con su contador de días</t>
  </si>
  <si>
    <t>RI_1_6</t>
  </si>
  <si>
    <t>El resto de la funcionalidad de la pantalla no se ve afectada por la incorporación del contador de días</t>
  </si>
  <si>
    <t>RI_2</t>
  </si>
  <si>
    <t>Para los revisores semanalmente se debe enviar un reporte con todos los modelos activos con el detalle de los modelos, etapas y días que llevan</t>
  </si>
  <si>
    <t>RI_2_1</t>
  </si>
  <si>
    <t>El reporte se envía sólo a la nómina de destinatarios definidos en la tabla DESTINATARIO_REVISORES</t>
  </si>
  <si>
    <t>2026-04-06</t>
  </si>
  <si>
    <t>30-mar (BLOQUEADO PARA EJECUTAR)</t>
  </si>
  <si>
    <t>RI_2_2</t>
  </si>
  <si>
    <t>El día y horario se pueden configurar por medio de mantenedor</t>
  </si>
  <si>
    <t>2026-04-15</t>
  </si>
  <si>
    <t>1. No quedará como mantenedor, sólo en un Job</t>
  </si>
  <si>
    <t>RI_2_3</t>
  </si>
  <si>
    <t>El remitente del correo con el informe es MRM_RiesgoModelo@bancochile.cl</t>
  </si>
  <si>
    <t>RI_2_4</t>
  </si>
  <si>
    <t>Se recibe el correo con archivo adjunto, en formato excel, con el listado de modelos activos y los siguientes campos Id, versión, nombre, SubNivel3/4, Etapa, días activos</t>
  </si>
  <si>
    <t>7-abr: Por definición de negocio, se excluye subnivel 3/4 del reporte</t>
  </si>
  <si>
    <t>RI_2_5</t>
  </si>
  <si>
    <t>En el caso de falla en servicio de correo u otra anomalía, se debe notificar el error a MRM_RiesgoModelo@bancochile.cl</t>
  </si>
  <si>
    <t>RI_2_6</t>
  </si>
  <si>
    <t>Cuadratura: La cantidad de modelos activos del reporte coincide con el total de modelos activos del sistema</t>
  </si>
  <si>
    <t>RI_3</t>
  </si>
  <si>
    <t>Se debe poder dejar activos los modelos en más de una etapa, por ejemplo validaciones desarrollo e implementación activos.</t>
  </si>
  <si>
    <t>RI_3_1</t>
  </si>
  <si>
    <t>Los modelos activos pueden tener a lo menos 1 etapa activa</t>
  </si>
  <si>
    <t>2026-02-10</t>
  </si>
  <si>
    <t>11-feb: En corrección de Jorge Melendez para subir a QA el mismo día</t>
  </si>
  <si>
    <t>RI_3_2</t>
  </si>
  <si>
    <t>El modelo puede tener todas las etapas activas</t>
  </si>
  <si>
    <t>RI_4</t>
  </si>
  <si>
    <t>Al activar por segunda o más veces una etapa, debe aparecer el formulario de cambio de etapa (actualmente en el módulo Seguimiento y Monitoreo - columna Estado) para poder poner un motivo.</t>
  </si>
  <si>
    <t>RI_4_1</t>
  </si>
  <si>
    <t>Una o todas las etapas pueden ser reactivadas</t>
  </si>
  <si>
    <t>RI_4_2</t>
  </si>
  <si>
    <t>Se puede re-activar un modelo el mismo día</t>
  </si>
  <si>
    <t>RI_4_3</t>
  </si>
  <si>
    <t>Cuando se reactiva una etapa debe habilitarse debe el botón de aprobación de la etapa</t>
  </si>
  <si>
    <t>RI_4_4</t>
  </si>
  <si>
    <t>No se debe reactivar una etapa si en etapas de desarrollo el modelo fue "Rechazado" o gobierno queda "No Aprobado"</t>
  </si>
  <si>
    <t>RI_4_5</t>
  </si>
  <si>
    <t>El modelo puede re-activarse sólo si se indica el motivo de reactivación</t>
  </si>
  <si>
    <t>RI_4_6</t>
  </si>
  <si>
    <t>Los adjuntos son opcionales</t>
  </si>
  <si>
    <t>RI_4_7</t>
  </si>
  <si>
    <t>Debe mostrarse una alerta si no se indica el motivo de reactivación</t>
  </si>
  <si>
    <t>16-feb (BLOQUEADO PARA EJECUTAR)</t>
  </si>
  <si>
    <t>RI_5</t>
  </si>
  <si>
    <t>Cambio en el nombre del propósito a "Objetivo"</t>
  </si>
  <si>
    <t>Desarrollo  /  cambio visual de nombres de campos</t>
  </si>
  <si>
    <t>RI_5_1</t>
  </si>
  <si>
    <t>Confirmar cambio de nombre, correcta redacción y ubicación en pantalla</t>
  </si>
  <si>
    <t>2026-01-28</t>
  </si>
  <si>
    <t>RI_6</t>
  </si>
  <si>
    <t>Se debe cambiar el nombre del campo de "Justificación" por "Justificación de la Criticidad de Uso"</t>
  </si>
  <si>
    <t>Desarrollo / pestaña Materialidad / cambio visual de nombres de campos</t>
  </si>
  <si>
    <t>RI_6_1</t>
  </si>
  <si>
    <t>RI_7</t>
  </si>
  <si>
    <t>RI_7: Se debe agregar en la pestaña Información General, el campo Usos: el cual puede ser mayor a uno, seleccionando el simbolo "+" junto al campo de texto.</t>
  </si>
  <si>
    <t>Desarrollo / pestaña Información General / campo usos - áreas</t>
  </si>
  <si>
    <t>RI_7-8_1</t>
  </si>
  <si>
    <t>Al ingresar a la pantalla se cargan todos los usos que hayan sido guardados con anterioridad</t>
  </si>
  <si>
    <t>2026-02-05</t>
  </si>
  <si>
    <t>Reprueba OK</t>
  </si>
  <si>
    <t>2026-02-04</t>
  </si>
  <si>
    <t>28-ene (NOK)</t>
  </si>
  <si>
    <t>RI_7-8_2</t>
  </si>
  <si>
    <t>Si no existen usos guardados, los campos Uso y Áreas quedan vacíos y disponibles para ingresar información</t>
  </si>
  <si>
    <t>RI_7-8_3</t>
  </si>
  <si>
    <t>La funcionalidad permite agregar N Usos</t>
  </si>
  <si>
    <t>14-abr: Se acuerda dejar OK por parte del usuario (duplicados). Vacíos y Usos</t>
  </si>
  <si>
    <t>25-mar (NOK - ALTA)</t>
  </si>
  <si>
    <t>2026-03-24</t>
  </si>
  <si>
    <t>28-ene (NOK - ALTA)</t>
  </si>
  <si>
    <t>RI_7-8_4</t>
  </si>
  <si>
    <t>La funcionalidad permite modificar Usos</t>
  </si>
  <si>
    <t>RI_7-8_5</t>
  </si>
  <si>
    <t>La funcionalidad permite eliminar Usos</t>
  </si>
  <si>
    <t>RI_7-8_6</t>
  </si>
  <si>
    <t>Si el modelo se envió a Revisión, el sistema no debe permitir Agregar/Modificar/Eliminar Usos</t>
  </si>
  <si>
    <t>2026-03-27</t>
  </si>
  <si>
    <t>Re-Prueba OK</t>
  </si>
  <si>
    <t>18-mar (NOK - ALTA)</t>
  </si>
  <si>
    <t>28-ene (NOK - BLOQUEANTE)</t>
  </si>
  <si>
    <t>RI_7-8_7</t>
  </si>
  <si>
    <t>El campo Áreas Usuarias permite la búsqueda por medio de la funcionalidad actual del sistema</t>
  </si>
  <si>
    <t>RI_7-8_8</t>
  </si>
  <si>
    <t>Los campos "Uso" y "Areas" son obligatorios y se levanta una alerta en caso que se quiera guardar la información sin los campos completos</t>
  </si>
  <si>
    <t>28-ene (NOK - MEDIA)</t>
  </si>
  <si>
    <t>RI_7-8_9</t>
  </si>
  <si>
    <t>Aparece un campo obligatorio "Área Usuaria" asociado al Modelo en Etapa de "Desarrollo"</t>
  </si>
  <si>
    <t>28-ene (NOK - BAJA)</t>
  </si>
  <si>
    <t>RI_7-8_10</t>
  </si>
  <si>
    <t>Al presionar el botón "Nuevo Modelo" en la línea de tiempo se crean nuevas versiones y no nuevos modelos</t>
  </si>
  <si>
    <t>RI_7-8_11</t>
  </si>
  <si>
    <t>Guardado del formulario</t>
  </si>
  <si>
    <t>RI_7-8_12</t>
  </si>
  <si>
    <t>Opciones de la grilla Usos</t>
  </si>
  <si>
    <t>RI_7-8_13</t>
  </si>
  <si>
    <t>ID Solicitud no puede ser editable</t>
  </si>
  <si>
    <t>RI_7-8_14</t>
  </si>
  <si>
    <t>Título del formulario "Solicitud Desarrollo" repetido</t>
  </si>
  <si>
    <t>RI_7-8_15</t>
  </si>
  <si>
    <t>Creación de Nuevo modelo</t>
  </si>
  <si>
    <t>2026-02-23</t>
  </si>
  <si>
    <t>Al crear un nuevo modelo y presionar el botón "Guardar", el sistema muestra el mensaje "Fila Creada". Debiese ser "Modelo Creado". Al parecer la notificación se mezcla con nuevas filas de la grilla "Usos"</t>
  </si>
  <si>
    <t>RI_7-8_16</t>
  </si>
  <si>
    <t>Alerta de campos obligatorios</t>
  </si>
  <si>
    <t>2026-02-11</t>
  </si>
  <si>
    <t>1. Al guardar el formulario, solicita completar la fecha de reporte pero el calendario está bloqueado. Además, la validación exige el mismo dato ya ingresado</t>
  </si>
  <si>
    <t>5-feb (BLOQUEADO PARA EJECUTAR)</t>
  </si>
  <si>
    <t>RI_7-8_17</t>
  </si>
  <si>
    <t>Observaciones de Usabilidad</t>
  </si>
  <si>
    <t>2026-03-13</t>
  </si>
  <si>
    <t>1. Permite agregar una 2da fila aun cuando la 1era esté vacía / Re-Prueba OK</t>
  </si>
  <si>
    <t>Comportamiento revisando en reunion 02.03  es un comportamiento nativo de la grilla.</t>
  </si>
  <si>
    <t>RI_9</t>
  </si>
  <si>
    <t>Se debe agregar un mantenedor para el listado de Usos</t>
  </si>
  <si>
    <t>Desarrollo / pestaña Información General / campo usos - mantenedor</t>
  </si>
  <si>
    <t>RI_9_1</t>
  </si>
  <si>
    <t>N/A Caso de Prueba.  Los Usos son texto libre y no requieren mantenedor</t>
  </si>
  <si>
    <t>RI_10</t>
  </si>
  <si>
    <t>Para la pestaña Materialidad se añaden nuevos campos: “Servidor”, “Base de datos”, “Esquema”, “otros” y “Responsable” todos estos campos tendrán opciones por mantenedor (a excepción de “otros”.)</t>
  </si>
  <si>
    <t>Desarrollo / pestaña Información General / cambio visual de nombres de campos</t>
  </si>
  <si>
    <t>RI_10_1</t>
  </si>
  <si>
    <t>Al abrir la pestaña Materialidad, se cargan las topologías ingresadas con anterioridad. Caso contrario no muestra ninguna</t>
  </si>
  <si>
    <t>RI_10_2</t>
  </si>
  <si>
    <t>La funcionalidad permite agregar N topologías</t>
  </si>
  <si>
    <t>RI_10_3</t>
  </si>
  <si>
    <t>La funcionalidad permite modificar topologías</t>
  </si>
  <si>
    <t>RI_10_4</t>
  </si>
  <si>
    <t>La funcionalidad permite eliminar topologías</t>
  </si>
  <si>
    <t>RI_10_5</t>
  </si>
  <si>
    <t>Todos los campos son obligatorios</t>
  </si>
  <si>
    <t>RI_10_6</t>
  </si>
  <si>
    <t>El sistema debe alertar cuando no se completan los campos obligatorios</t>
  </si>
  <si>
    <t>RI_11</t>
  </si>
  <si>
    <t>RI_11: Al abrir la ventana para agregar Exposiciones (+), se debe abrir una ventana informativa con la exposición de la versión anterior. Debe aparecer la Familia (correspondiente al mod_fam_subn3 y la exposición )</t>
  </si>
  <si>
    <t>Desarrollo / pestaña Materialidad / ventana informativa exposicion</t>
  </si>
  <si>
    <t>RI_11-12_1</t>
  </si>
  <si>
    <t>La funcionalidad muestra la última exposición ingresada junto con su familia de modelos. En caso que no exista, debe indicarse que no hay exposiciones</t>
  </si>
  <si>
    <t>No se muestran las exposiciones anteriores, tampoco indica que no hay exposiciones</t>
  </si>
  <si>
    <t>6-feb (NOK - BLOQUEANTE)</t>
  </si>
  <si>
    <t>RI_11-12_2</t>
  </si>
  <si>
    <t>La funcionalidad debe permitir agregar una nueva exposición con valores absolutos y la unidad de medida correspondiente (CLP, Unidades, etc)</t>
  </si>
  <si>
    <t>2026-04-13</t>
  </si>
  <si>
    <t>13-abr: Campo exposición anterior debe quedar sólo lectura y no permitir ajustar tamaño</t>
  </si>
  <si>
    <t>25-mar (NOK - MEDIA)</t>
  </si>
  <si>
    <t>RI_11-12_3</t>
  </si>
  <si>
    <t>El subnivel3, unidad de exposición y exposición deben ser datos obligatorios</t>
  </si>
  <si>
    <t>2026-03-12</t>
  </si>
  <si>
    <t>RI_11-12_4</t>
  </si>
  <si>
    <t>El sistema debe alertar cuando no se completan los datos obligatorios</t>
  </si>
  <si>
    <t>RI_11-12_5</t>
  </si>
  <si>
    <t>Excepción: No todos los modelos tienen subnivel3. En ese caso la funcionalidad debe mostrar sólo la exposición</t>
  </si>
  <si>
    <t>RI_11-12_6</t>
  </si>
  <si>
    <t>Luego de completar los datos obligatorios, el sistema guarda correctamente los datos</t>
  </si>
  <si>
    <t>23-deb</t>
  </si>
  <si>
    <t>No permite guardar formulario por alerta de dato inválido</t>
  </si>
  <si>
    <t>11-feb (NOK - BLOQUEANTE)</t>
  </si>
  <si>
    <t>RI_13</t>
  </si>
  <si>
    <t>RI_13: Agregar en la pestaña Desarrollo, el campo desplegable "Tipo de Modelación"</t>
  </si>
  <si>
    <t>Desarrollo / Pestaña Desarrollo / modelos internos</t>
  </si>
  <si>
    <t>RI_13-15-16-17_1</t>
  </si>
  <si>
    <t>Al ingresar a la pantalla se cargan los datos que han sido guardados con anterioridad. Caso contrario no muestra ninguno</t>
  </si>
  <si>
    <t>RI_13-15-16-17_2</t>
  </si>
  <si>
    <t>El campo "Tipo de Modelación" muestra las opciones: Tradicional, Caja Negra, Inteligencia Artificial y N/A</t>
  </si>
  <si>
    <t>RI_13-15-16-17_3</t>
  </si>
  <si>
    <t>Los campos "Tipo de Modelación", "Periodo de Estudio", "Universo" y "Variable Objetivo" son obligatorios y se levanta una alerta en caso que se quiera guardar la información sin todos los campos completos</t>
  </si>
  <si>
    <t>RI_13-15-16-17_4</t>
  </si>
  <si>
    <t>Los campos "Periodo de Estudio", "Universo" y "Variable Objetivo" son textos enriquecidos</t>
  </si>
  <si>
    <t>1. No muestra la opción para enriquecer el texto</t>
  </si>
  <si>
    <t>RI_14</t>
  </si>
  <si>
    <t>Se debe generar el mantenedor para el campo Tipo de Modelación, con los siguientes valores: Tradicional, Machine Learning, Caja Negra, Inteligencia Artificial</t>
  </si>
  <si>
    <t>RI_14_1</t>
  </si>
  <si>
    <t>RI_18</t>
  </si>
  <si>
    <t>Cambiar el nombre de "Dependencia" a "Relación de Modelos"</t>
  </si>
  <si>
    <t>Desarrollo / pestaña Información General / definicion de extension</t>
  </si>
  <si>
    <t>1.- El botón "Agregar Fila" pareciera que esta en otra tabla</t>
  </si>
  <si>
    <t>Corregido en despliegue del 01.03</t>
  </si>
  <si>
    <t>RI_19</t>
  </si>
  <si>
    <t>RI_19: La "Relación de Modelos", puede ser mas de 1, es por eso se debe habilitar el botón "+", para poder agregar más campos con las filas correspondientes</t>
  </si>
  <si>
    <t>Desarrollo / pestaña Información General /definicion de extension</t>
  </si>
  <si>
    <t>RI_19-20-21-23-24_1</t>
  </si>
  <si>
    <t>Al ingresar a la pantalla se cargan todas las relaciones que han sido guardadas con anterioridad y el botón "Relación de Modelos" aparece activo</t>
  </si>
  <si>
    <t>2026-02-24</t>
  </si>
  <si>
    <t>05/02: No se puede verificar la prueba dado que existen otros problemas en las funcionalidades, que impiden hacer un flujo ideal</t>
  </si>
  <si>
    <t>10 feb (NOK-BLOQUEANTE)</t>
  </si>
  <si>
    <t>RI_19-20-21-23-24_2</t>
  </si>
  <si>
    <t>Si no existen relaciones guardadas, el botón "Relación de Modelos" aparece deshabilitado y los campos de relaciones quedan ocultos</t>
  </si>
  <si>
    <t>Se pueden agregar más caracteres? Mil seria posible?</t>
  </si>
  <si>
    <t>RI_19-20-21-23-24_3</t>
  </si>
  <si>
    <t>Si existen relaciones guardadas, y se desactiva el botón "Relación de Modelos", el sistema presenta una alerta indicando que existen relaciones guardadas</t>
  </si>
  <si>
    <t>05/02: Si no se agregaron modelos y se desactiva el switch, no deberia mandar el mensaje de alerta de eliminación</t>
  </si>
  <si>
    <t>16-feb (NOK - BLOQUEANTE)</t>
  </si>
  <si>
    <t>Se corrigio en</t>
  </si>
  <si>
    <t>RI_19-20-21-23-24_4</t>
  </si>
  <si>
    <t>La funcionalidad permite agregar N relaciones</t>
  </si>
  <si>
    <t>RI_19-20-21-23-24_5</t>
  </si>
  <si>
    <t>La funcionalidad permite modificar relaciones</t>
  </si>
  <si>
    <t>RI_19-20-21-23-24_6</t>
  </si>
  <si>
    <t>La funcionalidad permite eliminar relaciones</t>
  </si>
  <si>
    <t>RI_19-20-21-23-24_7</t>
  </si>
  <si>
    <t>La lista desplegable "Tipo de Relación" incluye 5 opciones: 1. Extensión de uso - Variables; 2. Extensión de uso - Modelos; 3. Ensamble; 4. Coexistencia; 5. Aplicación</t>
  </si>
  <si>
    <t>Se puede editar el orden de las opciones?</t>
  </si>
  <si>
    <t>RI_19-20-21-23-24_8</t>
  </si>
  <si>
    <t>El campo "Modelo Relacionado" permite la búsqueda de modelos activos, mediante autocompletado, con la siguiente estructura: ID_Modelo-Versión + Nombre</t>
  </si>
  <si>
    <t>05/02: Sacar los modelos caducados</t>
  </si>
  <si>
    <t>RI_19-20-21-23-24_9</t>
  </si>
  <si>
    <t>Los campos "Tipo de Relación", "Modelo Relacionado" y "Descripción de Relación" son obligatorios al momento de agregar una relación</t>
  </si>
  <si>
    <t>2026-03-25</t>
  </si>
  <si>
    <t>25/03: Re-prueba NOK</t>
  </si>
  <si>
    <t>16-mar (NOK - ALTA)</t>
  </si>
  <si>
    <t>10 feb (NOK-ALTA)</t>
  </si>
  <si>
    <t>RI_19-20-21-23-24_10</t>
  </si>
  <si>
    <t>y se levanta una alerta en caso que se quiera guardar la información sin todos los campos completos</t>
  </si>
  <si>
    <t>05/02: No se puede verificar la prueba dado que existen otros problemas en las funcionalidades, que impiden hacer un flujo ideal (OK)</t>
  </si>
  <si>
    <t>02-mar (NOK - ALTA)</t>
  </si>
  <si>
    <t>RI_19-20-21-23-24_11</t>
  </si>
  <si>
    <t>Al guardar la página y estar activo el botón "Relación de Modelos", debe levantarse una alerta solicitando el ingreso de una relación</t>
  </si>
  <si>
    <t>2-mar: El formulario permite guardar aun cuando esté activo el switch de relación.  El problema es que hay 2 tipos de validaciones, al pasar el mouse por el botón "Confirmar y solicitar revisión" y al apretarlo. Deben aparecer todas al apretar el botón</t>
  </si>
  <si>
    <t>RI_19-20-21-23-24_12</t>
  </si>
  <si>
    <t>La consulta de Modelos Relacionados no debe mostrar:</t>
  </si>
  <si>
    <t>2-mar:</t>
  </si>
  <si>
    <t>16-feb (NOK - MEDIA)</t>
  </si>
  <si>
    <t>RI_19-20-21-23-24_13</t>
  </si>
  <si>
    <t>Al crear un modelo por 1era vez, el sistema permite el ingreso de relaciones</t>
  </si>
  <si>
    <t>2026-03-16</t>
  </si>
  <si>
    <t>16-mar (NOK - MEDIA)</t>
  </si>
  <si>
    <t>Corregido en despliegue del 05.03</t>
  </si>
  <si>
    <t>RI_22</t>
  </si>
  <si>
    <t>Se debe generar mantenedor para el campo Tipo de relación</t>
  </si>
  <si>
    <t>RI_22_1</t>
  </si>
  <si>
    <t>El mantenedor debe permitir Agregar, Modificar y Eliminar lógicamente los Tipos de Relación</t>
  </si>
  <si>
    <t>RI_25</t>
  </si>
  <si>
    <t>RI_25: Se deben unir las validaciones de desarrollo e implementación, en un sólo botón. Para los modelos en estado En Uso</t>
  </si>
  <si>
    <t>Validación / Ciclo de Vida / Validaciones</t>
  </si>
  <si>
    <t>RI_25-26-27-28-29_1</t>
  </si>
  <si>
    <t>La nueva vista debe consolidar información de desarrollo y validación, diferenciadas por el "origen" para los modelos "En Uso"</t>
  </si>
  <si>
    <t>Al presionar el botón "Validaciones" aparece un mensaje de error (ver evidencias)</t>
  </si>
  <si>
    <t>5-feb (NOK - BLOQUEANTE)</t>
  </si>
  <si>
    <t>RI_25-26-27-28-29_2</t>
  </si>
  <si>
    <t>La columna "origen" muestra sólo los datos "Desarrollo", "Implementación" y "En Uso"</t>
  </si>
  <si>
    <t>No es seleccionable la opción, esto se debe autocompletar al seleccionar el informe</t>
  </si>
  <si>
    <t>RI_25-26-27-28-29_3</t>
  </si>
  <si>
    <t>La columna "Objetivo Validación" muestra sólo datos "Nuevo Desarrollo de Modelo", "Modificación a un Modelo Existente", "Validación Continua", "Integración en la Gestión" y "Seguimiento"</t>
  </si>
  <si>
    <t>RI_25-26-27-28-29_4</t>
  </si>
  <si>
    <t>El botón "+ Validación continua" se muestra como "+ Validación" y se elimina la + Validación extraordinaria</t>
  </si>
  <si>
    <t>RI_25-26-27-28-29_5</t>
  </si>
  <si>
    <t>El campo de "ID Validación" redirige a la pantalla de Desarrollo o Validación según corresponda el origen</t>
  </si>
  <si>
    <t>No se verifica la funcionalidad (ver evidencia)</t>
  </si>
  <si>
    <t>RI_25-26-27-28-29_6</t>
  </si>
  <si>
    <t>La nota y el estado son coincidentes con los datos de las etapas Desarrollo y Validación según corresponda</t>
  </si>
  <si>
    <t>RI_25-26-27-28-29_7</t>
  </si>
  <si>
    <t>Confirmar cambio de nombre, correcta redacción y ubicación en pantalla para los campos:</t>
  </si>
  <si>
    <t>RI_25-26-27-28-29_8</t>
  </si>
  <si>
    <t>La fecha de solicitud es la fecha de creación del registro</t>
  </si>
  <si>
    <t>RI_25-26-27-28-29_9</t>
  </si>
  <si>
    <t>El botón "Eliminar" permite la eliminación del registro ingresado</t>
  </si>
  <si>
    <t>05/02: No se verifica la funcionalidad (ver evidencia)</t>
  </si>
  <si>
    <t>RI_25-26-27-28-29_10</t>
  </si>
  <si>
    <t>Previo a la eliminación del registro de validación, la funcionalidad debe solicitar al usuario su confirmación</t>
  </si>
  <si>
    <t>RI_30</t>
  </si>
  <si>
    <t>Para la ventana de Validaciones adicionales, se le debe cambiar el nombre al formulario por "Validaciones"</t>
  </si>
  <si>
    <t>RI_30_1</t>
  </si>
  <si>
    <t>RI_31</t>
  </si>
  <si>
    <t>La sección de Gobierno del formulario de validaciones se debe eliminar</t>
  </si>
  <si>
    <t>RI_31_1</t>
  </si>
  <si>
    <t>Confirmar eliminación de sección de gobierno</t>
  </si>
  <si>
    <t>RI_31_2</t>
  </si>
  <si>
    <t>Las operaciones de carga y guardado de información no se ven impactadas por la eliminación de la sección de gobierno</t>
  </si>
  <si>
    <t>Pendiente Re-Prueba</t>
  </si>
  <si>
    <t>10-feb (NOK - BLOQUEANTE)</t>
  </si>
  <si>
    <t>RI_32</t>
  </si>
  <si>
    <t>RI_32: Se le debe cambiar el nombre a la funcionalidad de la asignación de informes al modelo por "Detalle Informe Validación"</t>
  </si>
  <si>
    <t>RI_32-33-34-35-36_1</t>
  </si>
  <si>
    <t>Confirmar cambio de nombre, correcta redacción y ubicación en pantalla del Título "Detalle Informe Validación"</t>
  </si>
  <si>
    <t>RI_32-33-34-35-36_2</t>
  </si>
  <si>
    <t>Se deben mostrar todos los informes donde haya sido mencionado el modelo (llave ID-Versión-Subnivel3) y precargar el último informe</t>
  </si>
  <si>
    <t>RI_32-33-34-35-36_3</t>
  </si>
  <si>
    <t>Permite seleccionar fechas pasadas limitando a la fecha de creación del modelo</t>
  </si>
  <si>
    <t>RI_32-33-34-35-36_4</t>
  </si>
  <si>
    <t>Confirmar eliminación del campo "Fecha Próxima Validación"</t>
  </si>
  <si>
    <t>RI_32-33-34-35-36_5</t>
  </si>
  <si>
    <t>Las operaciones de carga y guardado de información no se ven impactadas por la eliminación del campo "Fecha Próxima Validación"</t>
  </si>
  <si>
    <t>RI_37</t>
  </si>
  <si>
    <t>Para el formulario de Implementación se añaden nuevos campos: “Servidor”, “Base de datos”, “Esquema”, “otros” y “Responsable” todos estos campos tendrán opciones por mantenedor (a excepción de “otros”.)</t>
  </si>
  <si>
    <t>Implementación e Implementación Adicional  / nombre base de dato</t>
  </si>
  <si>
    <t>RI_37_1</t>
  </si>
  <si>
    <t>Al ingresar a la pantalla se cargan todas las topologías que han sido guardadas con anterioridad</t>
  </si>
  <si>
    <t>22-04: El botón de relacion de modelos no funciona, la tabla queda activada independiente del botón</t>
  </si>
  <si>
    <t>10-mar (NOK - BLOQUEANTE)</t>
  </si>
  <si>
    <t>SE desplegara en la correccion del dia 13.03</t>
  </si>
  <si>
    <t>RI_37_2</t>
  </si>
  <si>
    <t>2026-03-10</t>
  </si>
  <si>
    <t>No realiza ninguna operación CRUD al actualizar el formulario con Perfil de Validador</t>
  </si>
  <si>
    <t>RI_37_3</t>
  </si>
  <si>
    <t>RI_37_4</t>
  </si>
  <si>
    <t>RI_37_5</t>
  </si>
  <si>
    <t>Todos los campos son obligatorios y se levanta una alerta en caso que no hayan sido completados</t>
  </si>
  <si>
    <t>No se levantan alertas aun cuando los campos estén vacíos. Perfil Validador</t>
  </si>
  <si>
    <t>11-feb (NOK - ALTA)</t>
  </si>
  <si>
    <t>RI_38</t>
  </si>
  <si>
    <t>Agregar responsable de la base exposición. Debe aparecer un cuadro para identificar el área de la misma forma que se hace para los otros responsables (Desarrollador, implementador, etc)</t>
  </si>
  <si>
    <t>Implementación e Implementación Adicional  / responsable del dato</t>
  </si>
  <si>
    <t>RI_38_1</t>
  </si>
  <si>
    <t>El campo "Responsable de la Base de Exposición", permite la búsqueda por medio de la funcionalidad actual del sistema (jerarquía)</t>
  </si>
  <si>
    <t>RI_38_2</t>
  </si>
  <si>
    <t>En campo es obligatorio y levanta un mensaje de alerta si está vacío</t>
  </si>
  <si>
    <t>No levanta alerta para el dato obligatorio y permite enviar a revisión</t>
  </si>
  <si>
    <t>RI_39</t>
  </si>
  <si>
    <t>RI_39: Agregar responsable de explotación. Debe aparecer un cuadro para identificar el área de la misma forma que se hace para los otros responsables (Desarrollador, implementador, etc)</t>
  </si>
  <si>
    <t>Implementación e Implementación Adicional  / responsable de la explotacion</t>
  </si>
  <si>
    <t>RI_39-40_1</t>
  </si>
  <si>
    <t>El campo "Responsable de Explotación", permite la búsqueda por medio de la funcionalidad actual del sistema (jerarquía)</t>
  </si>
  <si>
    <t>2026-03-09</t>
  </si>
  <si>
    <t>05/02: El formulario de Implementación adicional no incluye esta mejora</t>
  </si>
  <si>
    <t>RI_39-40_2</t>
  </si>
  <si>
    <t>La lista desplegable "Periodicidad de Explotación" incluye 5 opciones: 1. Diaria; 2. Semanal; 3. Quincenal; 4. Mensual; 5. Anual</t>
  </si>
  <si>
    <t>05/02: No existen opciones en la lista (Ver evidencia), el formulario de Implementación adicional no incluye esta mejora</t>
  </si>
  <si>
    <t>RI_39-40_3</t>
  </si>
  <si>
    <t>El campo "Otra Periodicidad" se muestra bloqueado y se habilita una vez que se selecciona "Otra Periodicidad" desde la lista desplegable "Periodicidad de Explotación"</t>
  </si>
  <si>
    <t>2026-04-23</t>
  </si>
  <si>
    <t>25-03: Se incluyen mejoras en formulario implementación adicional pero al seleccionar Periodicidad de Explotación "Otro", permite dejarel campo vacío. Además al activar el switch de relación de modelos sin ingresar una relación, y enviar a revisión, el sistema no levanta la alerta</t>
  </si>
  <si>
    <t>25-mar: (NOK - MEDIA)</t>
  </si>
  <si>
    <t>RI_39-40_4</t>
  </si>
  <si>
    <t>Si en la  "Periodicidad de Explotación" está seleccionada "Otra Periodicidad" y el campo "Otra Periodicidad" está vacío, debe mostrarse un mensaje de alerta pidiendo el ingreso del dato</t>
  </si>
  <si>
    <t>05/02: No es posible revisarlo dado el error en la HU RI_39-40_2</t>
  </si>
  <si>
    <t>RI_39-40_5</t>
  </si>
  <si>
    <t>Los campos "Responsable de Explotación", "Periodicidad de Explotación" u "Otra Periodicidad" son obligatorios</t>
  </si>
  <si>
    <t>05/02: El campo Responsable de Explotación no es obligatorio, no es posible verificar Otra periodicidad dado el error en la HU RI_39-40_2</t>
  </si>
  <si>
    <t>RI_41</t>
  </si>
  <si>
    <t>Se debe agregar al mantenedor la lista de las periodicidades</t>
  </si>
  <si>
    <t>Implementación e Implementación Adicional  / responsable de la explotacion - mantenedor</t>
  </si>
  <si>
    <t>RI_41_1</t>
  </si>
  <si>
    <t>El mantenedor debe permitir Agregar, Modificar y Eliminar lógicamente la lista de periodicidad</t>
  </si>
  <si>
    <t>05/02: Se verifican 2 mantenedores para la periodicidad de la explotacion (Ver evidencia)</t>
  </si>
  <si>
    <t>RI_42</t>
  </si>
  <si>
    <t>RI_42: Agregar el campo "Relación de Modelos"</t>
  </si>
  <si>
    <t>Implementación e Implementación Adicional / tipo de relacion de modelos</t>
  </si>
  <si>
    <t>RI_42-43-44-45_1</t>
  </si>
  <si>
    <t>25-03: Se incluyen mejoras en formulario implementación adicional y se cargan todas las relaciones cargadas con anterioridad</t>
  </si>
  <si>
    <t>16-feb (NOK- ALTA)</t>
  </si>
  <si>
    <t>RI_42-43-44-45_2</t>
  </si>
  <si>
    <t>2-mar (NOK- ALTA)</t>
  </si>
  <si>
    <t>RI_42-43-44-45_3</t>
  </si>
  <si>
    <t>RI_42-43-44-45_4</t>
  </si>
  <si>
    <t>2026-02-09</t>
  </si>
  <si>
    <t>RI_42-43-44-45_5</t>
  </si>
  <si>
    <t>RI_42-43-44-45_6</t>
  </si>
  <si>
    <t>RI_42-43-44-45_7</t>
  </si>
  <si>
    <t>RI_42-43-44-45_8</t>
  </si>
  <si>
    <t>27-03: Re-Prueba OK con Observaciones. El popup de confirmación se despliega 2 veces</t>
  </si>
  <si>
    <t>RI_42-43-44-45_9</t>
  </si>
  <si>
    <t>Los campos "Tipo de Relación", "Modelo Relacionado" y "Descripción de Relación" son obligatorios y se levanta una alerta en caso que se quiera guardar la información sin todos los campos completos</t>
  </si>
  <si>
    <t>RI_42-43-44-45_10</t>
  </si>
  <si>
    <t>RI_46</t>
  </si>
  <si>
    <t>RI_46: Sólo al activarse el botón "Integración Gestión", deben aparecer los campos de la integración gestión</t>
  </si>
  <si>
    <t>Implementación e Implementación Adicional / integracion gestion</t>
  </si>
  <si>
    <t>RI_46-47_1</t>
  </si>
  <si>
    <t>Al ingresar a la plantalla se cargan todas las integraciones de gestión que han sido guardadas con anterioridad y el botón "Integración Gestión" aparece activo</t>
  </si>
  <si>
    <t>25-03: La grilla permite guardar integraciones sin motivo (dato obligatorio indicado en el Análisis y Diseño)</t>
  </si>
  <si>
    <t>RI_46-47_2</t>
  </si>
  <si>
    <t>Si no existen integraciones de gestión guardadas, el botón "Integración Gestión" aparece deshabilitado y el campos "+" y "Descrpción Integración" quedan ocultos</t>
  </si>
  <si>
    <t>17/02: El formulario de Implementación adicional no incluye esta mejora</t>
  </si>
  <si>
    <t>RI_46-47_3</t>
  </si>
  <si>
    <t>Si existen integraciones de gestión guardadas, y se desactiva el botón "Integración Gestión", el sistema presenta una alerta indicando que existen integraciones guardadas</t>
  </si>
  <si>
    <t>RI_46-47_4</t>
  </si>
  <si>
    <t>La funcionalidad permite agregar N integraciones de gestión</t>
  </si>
  <si>
    <t>RI_46-47_5</t>
  </si>
  <si>
    <t>La funcionalidad permite modificar integraciones de gestión</t>
  </si>
  <si>
    <t>RI_46-47_6</t>
  </si>
  <si>
    <t>La funcionalidad permite eliminar integraciones de gestión</t>
  </si>
  <si>
    <t>RI_46-47_7</t>
  </si>
  <si>
    <t>El campos "Descripción de Integración"es obligatorio y se levanta una alerta en caso que se quiera guardar la información sin el campo completo</t>
  </si>
  <si>
    <t>18-mar (NOK - BAJA)</t>
  </si>
  <si>
    <t>RI_46-47_8</t>
  </si>
  <si>
    <t>Al guardar la página y estar activo el botón "Integración Gestión" sin "Descripciones de Integración", debe levantarse una alerta solicitando el ingreso de una relación</t>
  </si>
  <si>
    <t>2026-03-18</t>
  </si>
  <si>
    <t>2026-03-17</t>
  </si>
  <si>
    <t>RI_48</t>
  </si>
  <si>
    <t>El botón Ingresar Información Inventario dentro del módulo Registrar Información, debe llevar a la nueva funcionalidad de gobierno</t>
  </si>
  <si>
    <t>RI_48_1</t>
  </si>
  <si>
    <t>Confirmar la redirección al formulario de gobierno</t>
  </si>
  <si>
    <t>15-abr: N/A. Pasa a UAT de Gobierno</t>
  </si>
  <si>
    <t>RI_49</t>
  </si>
  <si>
    <t>Al presionar al globo de Gobierno en el ciclo de vida del módulo Registrar Información,  se deben mostrar los gobiernos por lo que ha estado el modelo:</t>
  </si>
  <si>
    <t>RI_49_1</t>
  </si>
  <si>
    <t>Al ingresar a la pantalla se cargan todas las instancias y el tipo de instancia (Desarrollo o Implementación) por las que ha pasado el modelo. Además la Fecha de aprobación en la instancia correspondiente y si tuvo excepción o no (SI/NO)</t>
  </si>
  <si>
    <t>30-mar: Quedan para Release 2 que incluye Gobierno</t>
  </si>
  <si>
    <t>RI_49_2</t>
  </si>
  <si>
    <t>Cuadratura: Las instancias de las etapas Desarrollo e Implementación coinciden con las que se muestran en la funcionalidad</t>
  </si>
  <si>
    <t>RI_49_3</t>
  </si>
  <si>
    <t>Al presionar botón Acta "+", la funcionalidad permite adjuntar archivos de forma opcional</t>
  </si>
  <si>
    <t>RI_50</t>
  </si>
  <si>
    <t>Se puede ingresar al formulario de En Uso una vez se active y este siempre se encuentra disponible sólo para revisores y Administrador</t>
  </si>
  <si>
    <t>En Uso / Revisor</t>
  </si>
  <si>
    <t>RI_50_1</t>
  </si>
  <si>
    <t>El Formulario "En Uso" sólo se puede visualizar cuando la etapa esté activa</t>
  </si>
  <si>
    <t>RI_51</t>
  </si>
  <si>
    <t>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t>
  </si>
  <si>
    <t>RI_51_1</t>
  </si>
  <si>
    <t>Al ingresar a la pantalla, se cargan todos los responsables que han sido guardados con anterioridad en las etapas correspondientes</t>
  </si>
  <si>
    <t>2026-03-20</t>
  </si>
  <si>
    <t>17/02: Validador está escrito como "Responsable Validor". Al ingresar y guardar el propietario, y luego volver a ingresar en el formulario, este desaparece.</t>
  </si>
  <si>
    <t>17-feb (NOK - ALTA)</t>
  </si>
  <si>
    <t>RI_51_2</t>
  </si>
  <si>
    <t>El "Responsable de Explotación" muestra todos los registros provenientes de una carga inicial en excel</t>
  </si>
  <si>
    <t>Caso duplicado</t>
  </si>
  <si>
    <t>RI_51_3</t>
  </si>
  <si>
    <t>La funcionalidad permite seleccionar Responsables desde el buscador de áreas</t>
  </si>
  <si>
    <t>RI_51_4</t>
  </si>
  <si>
    <t>La funcionalidad permite modificar Responsables desde el buscador de áreas</t>
  </si>
  <si>
    <t>RI_51_5</t>
  </si>
  <si>
    <t>La funcionalidad permite eliminar Responsables</t>
  </si>
  <si>
    <t>RI_51_6</t>
  </si>
  <si>
    <t>Todos los campos de "Responsables" son obligatorios y se levanta una alerta en caso que se quiera guardar la información y falte alguno</t>
  </si>
  <si>
    <t>17/02:  Al ingresar y guardar el propietario, y luego volver a ingresar en el formulario, este desaparece.</t>
  </si>
  <si>
    <t>RI_52</t>
  </si>
  <si>
    <t>En el formulario En Uso deben aparecer el campo Usos, para añadir los N usos posibles que puede tener el modelo y un campo donde se asignen las áreas asociadas al uso. Debe venir precargado con los usos ingresados en el fomulario de Desarrollo</t>
  </si>
  <si>
    <t>RI_52_1</t>
  </si>
  <si>
    <t>Al ingresar a la pantalla se cargan todos los usos que hayan sido guardados con anterioridad o en etapas anteriores</t>
  </si>
  <si>
    <t>11/02: Incidente Bloqueante RI_11-12_6</t>
  </si>
  <si>
    <t>RI_52_2</t>
  </si>
  <si>
    <t>RI_52_3</t>
  </si>
  <si>
    <t>RI_52_4</t>
  </si>
  <si>
    <t>RI_52_5</t>
  </si>
  <si>
    <t>RI_52_6</t>
  </si>
  <si>
    <t>Revisar validez del Caso de Prueba</t>
  </si>
  <si>
    <t>RI_52_7</t>
  </si>
  <si>
    <t>RI_52_8</t>
  </si>
  <si>
    <t>Uso correcto, Área no la exige como obligatoria y se puede guardar vacía</t>
  </si>
  <si>
    <t>RI_52_9</t>
  </si>
  <si>
    <t>Los otros datos del formulario no se ven afectados por la nueva funcionalidad de Usos</t>
  </si>
  <si>
    <t>Al realizar cualquier operación de CRUD con los Usos y guardar, se borra el dato "Propietario" y lo vuelve a exigir por validación</t>
  </si>
  <si>
    <t>RI_53</t>
  </si>
  <si>
    <t>En el formulario En Uso deben aparecer un campo desplegable de ingreso múltiple para registrar los reportes normativos que genera el modelo</t>
  </si>
  <si>
    <t>RI_53_1</t>
  </si>
  <si>
    <t>Al ingresar a la pantalla se cargan todos los reportes que hayan sido guardados con anterioridad</t>
  </si>
  <si>
    <t>17/02:</t>
  </si>
  <si>
    <t>RI_53_2</t>
  </si>
  <si>
    <t>Si no existen reportes guardados, el campo queda vacíos y disponible para ingresar información</t>
  </si>
  <si>
    <t>RI_53_3</t>
  </si>
  <si>
    <t>La funcionalidad permite agregar N Reportes</t>
  </si>
  <si>
    <t>13/03:  permite grabar campos vacios</t>
  </si>
  <si>
    <t>13-mar (NOK - MEDIA)</t>
  </si>
  <si>
    <t>RI_53_4</t>
  </si>
  <si>
    <t>La funcionalidad permite modificar Reportes</t>
  </si>
  <si>
    <t>RI_53_5</t>
  </si>
  <si>
    <t>La funcionalidad permite eliminar Reportes</t>
  </si>
  <si>
    <t>RI_53_6</t>
  </si>
  <si>
    <t>La lista desplegable muestra todos los Reportes que han sido ingresados en el mantenedor</t>
  </si>
  <si>
    <t>RI_53_7</t>
  </si>
  <si>
    <t>La selección de la lista desplegable "Reporte Normativo" es opcional</t>
  </si>
  <si>
    <t>RI_54</t>
  </si>
  <si>
    <t>Se debe generar el mantenedor para la lista de los reportes normativoss</t>
  </si>
  <si>
    <t>En Uso / Revisor / Reportes Normativos - Mantenedor</t>
  </si>
  <si>
    <t>RI_54_1</t>
  </si>
  <si>
    <t>El mantenedor debe permitir Agregar, Modificar y Eliminar lógicamente la lista de reportes normativos</t>
  </si>
  <si>
    <t>RI_55</t>
  </si>
  <si>
    <t>RI_55: En el formulario En Uso deben aparecer Relación con Otro Modelo, proveniente de los formulario de Desarrollo y de Implementación.</t>
  </si>
  <si>
    <t>RI_55-56-57-58-59_1</t>
  </si>
  <si>
    <t>RI_55-56-57-58-59_2</t>
  </si>
  <si>
    <t>17/02: Al activar el botón inmediatamente aparece el mensaje de eliminación, además, pareciera que se verifican todos los campos del formulario dado que, si existe un campo obligatorio en blanco, se levanta el mensaje de error</t>
  </si>
  <si>
    <t>RI_55-56-57-58-59_3</t>
  </si>
  <si>
    <t>RI_55-56-57-58-59_4</t>
  </si>
  <si>
    <t>RI_55-56-57-58-59_5</t>
  </si>
  <si>
    <t>RI_55-56-57-58-59_6</t>
  </si>
  <si>
    <t>RI_55-56-57-58-59_7</t>
  </si>
  <si>
    <t>RI_55-56-57-58-59_8</t>
  </si>
  <si>
    <t>17/02: La funcionalidad no se visualiza como la que se encuentra en el formulario de desarrollo o implementación, homologar las 3</t>
  </si>
  <si>
    <t>RI_55-56-57-58-59_9</t>
  </si>
  <si>
    <t>17-feb (NOK - MEDIA)</t>
  </si>
  <si>
    <t>RI_55-56-57-58-59_10</t>
  </si>
  <si>
    <t>17/02: Los campos no son obligatorios.</t>
  </si>
  <si>
    <t>RI_60</t>
  </si>
  <si>
    <t>Campo de fecha de entrada en uso, si el modelo entra por primera vez en uso automáticamente se generan los formularios de control</t>
  </si>
  <si>
    <t>RI_60_1</t>
  </si>
  <si>
    <t>Si se completó la fecha de "Entrada en uso" en etapa de Gobierno o en etapa En Uso, debe precargarse y permitir modificarse</t>
  </si>
  <si>
    <t>Comentario: se desestima dado que para efectos de activaciones de etapa, lo realizan los revisores</t>
  </si>
  <si>
    <t>RI_60_2</t>
  </si>
  <si>
    <t>Si el modelo entra por primera vez en uso y coincide con la fecha de hoy, entonces automáticamente se generan los formularios de seguimiento</t>
  </si>
  <si>
    <t>RI_60_3</t>
  </si>
  <si>
    <t>El campo permite seleccionar fechas pasadas limitando a la fecha de creación del modelo y la fecha actual</t>
  </si>
  <si>
    <t>17/02: Preferible que quede abierta la fecha</t>
  </si>
  <si>
    <t>RI_61</t>
  </si>
  <si>
    <t>Se debe quitar la restricción de la caducidad que se debe contar con su paso por gobierno antes de cambiar de estado</t>
  </si>
  <si>
    <t>Caducidad</t>
  </si>
  <si>
    <t>RI_61_1</t>
  </si>
  <si>
    <t>Modelo se puede caducar desde etapa "En Uso" sin que haya pasado por etapa de "Gobierno"</t>
  </si>
  <si>
    <t>RI_61_2</t>
  </si>
  <si>
    <t>Modelo se puede caducar desde etapa "En Uso" aun cuando haya pasado por etapa de "Gobierno"</t>
  </si>
  <si>
    <t>7-abr: Con observaciones:</t>
  </si>
  <si>
    <t>RI_62</t>
  </si>
  <si>
    <t>Al momento de caducar un modelo, que aparezca un pop-up alertando acerca de observaciones que estén vigentes: 1. Observaciones de validación; 2. Observaciones de incidencias; 3. Observaciones de Seguimiento; 4. Observaciones de Control; 5. Observaciones del Auditor y Regulador</t>
  </si>
  <si>
    <t>RI_62_1</t>
  </si>
  <si>
    <t>La pantalla no muestra mensajes de alerta en caso que las observaciones vigentes estén cerradas o solucionadas</t>
  </si>
  <si>
    <t>2026-04-24</t>
  </si>
  <si>
    <t>1. No muestra las observaciones, muestra otros campos (ver evidencias)</t>
  </si>
  <si>
    <t>RI_62_2</t>
  </si>
  <si>
    <t>Las observaciones vigentes (no cerradas y no solucionadas), registradas en cada etapa del ciclo de vida, son coincidentes con las observaciones listadas en la pantalla</t>
  </si>
  <si>
    <t>Para revisar con Sergio y Miguel</t>
  </si>
  <si>
    <t>RI_63</t>
  </si>
  <si>
    <t>RI_63: Botón de Pausa en Etapas Activas</t>
  </si>
  <si>
    <t>RI_63-64-65-66-67_1</t>
  </si>
  <si>
    <t>El botón "Pausar" está habilitado si en la línea de tiempo existe una o más etapas activas</t>
  </si>
  <si>
    <t>RI_68</t>
  </si>
  <si>
    <t>Habilitar Globo de Ayuda para Todos los Campos de la Herramienta</t>
  </si>
  <si>
    <t>Todas las Vistas del Sistema</t>
  </si>
  <si>
    <t>RI_68_1</t>
  </si>
  <si>
    <t>Al pasar o posicionar el mouse sobre el ícono de ayuda, se despliega un modal con la descripción del campo a completar, con la misma tipografía del sistema y sin desborde del texto</t>
  </si>
  <si>
    <t>NOTA: Esta funcionalidad es transversal, por lo que se debe definir por parte del negocio en qué otros campos estará el globo de ayuda</t>
  </si>
  <si>
    <t>HU</t>
  </si>
  <si>
    <t>Titulo</t>
  </si>
  <si>
    <t>Estado</t>
  </si>
  <si>
    <t>ANA</t>
  </si>
  <si>
    <t>Vacia</t>
  </si>
  <si>
    <t>Casos de Prueba</t>
  </si>
  <si>
    <t>RI_0</t>
  </si>
  <si>
    <t>ENTREGADA</t>
  </si>
  <si>
    <t>Visualización de antigüedad en días</t>
  </si>
  <si>
    <t>RI_1_1(POST) | RI_1_2(POST) | RI_1_3(POST) | RI_1_4(POST) | RI_1_5(POST) | RI_1_6(POST)</t>
  </si>
  <si>
    <t>Automatización de reporte semanal</t>
  </si>
  <si>
    <t>RI_2_1(OK) | RI_2_2(OK) | RI_2_3(OK) | RI_2_4(OK) | RI_2_5(OK) | RI_2_6(OK)</t>
  </si>
  <si>
    <t>Activación concurrente de etapas</t>
  </si>
  <si>
    <t>RI_3_1: 11-feb: En corrección de Jorge Melendez para subir a QA el mismo día | RI_3_2: 11-feb: En corrección de Jorge Melendez para subir a QA el mismo día</t>
  </si>
  <si>
    <t>RI_3_1(POST) | RI_3_2(POST)</t>
  </si>
  <si>
    <t>Reactivación de etapas con motivo</t>
  </si>
  <si>
    <t>RI_4_1: 11-feb: En corrección de Jorge Melendez para subir a QA el mismo día | RI_4_2: 11-feb: En corrección de Jorge Melendez para subir a QA el mismo día | RI_4_5: 11-feb: En corrección de Jorge Melendez para subir a QA el mismo día | RI_4_7: 11-feb: En corrección de Jorge Melendez para subir a QA el mismo día</t>
  </si>
  <si>
    <t>RI_4_1(POST) | RI_4_2(POST) | RI_4_3(POST) | RI_4_4(POST) | RI_4_5(POST) | RI_4_6(POST) | RI_4_7(POST)</t>
  </si>
  <si>
    <t>Cambio de nombre propósito a objetivo</t>
  </si>
  <si>
    <t>RI_5_1(OK)</t>
  </si>
  <si>
    <t>Cambio de nombre justificación a justificación de la criticidad de uso</t>
  </si>
  <si>
    <t>RI_6_1(OK)</t>
  </si>
  <si>
    <t>RI_7-8</t>
  </si>
  <si>
    <t>Campo usos y áreas usuarias</t>
  </si>
  <si>
    <t>RI_9_1(N/A)</t>
  </si>
  <si>
    <t>Captura de topología técnica</t>
  </si>
  <si>
    <t>RI_10_1(OK) | RI_10_2(OK) | RI_10_3(OK) | RI_10_4(OK) | RI_10_5(OK) | RI_10_6(OK)</t>
  </si>
  <si>
    <t>RI_11-12</t>
  </si>
  <si>
    <t>Ventana informativa con exposición histórica</t>
  </si>
  <si>
    <t>RI_13-15-16-17</t>
  </si>
  <si>
    <t>Campo tipo de modelación</t>
  </si>
  <si>
    <t>RI_14_1(OK)</t>
  </si>
  <si>
    <t>Gestión de relaciones de modelos</t>
  </si>
  <si>
    <t>RI_18: Corregido en despliegue del 01.03</t>
  </si>
  <si>
    <t>RI_18(OK)</t>
  </si>
  <si>
    <t>RI_19-20-21-23-24</t>
  </si>
  <si>
    <t>RI_22_1: Corregido en despliegue del 05.03</t>
  </si>
  <si>
    <t>RI_22_1(OK)</t>
  </si>
  <si>
    <t>RI_25-26-27-28-29</t>
  </si>
  <si>
    <t>Unificación de validaciones desarrollo e implementación</t>
  </si>
  <si>
    <t>Cambio de nombre ventana validaciones adicionales</t>
  </si>
  <si>
    <t>RI_30_1(OK)</t>
  </si>
  <si>
    <t>Eliminación de sección gobierno</t>
  </si>
  <si>
    <t>RI_31_1(OK) | RI_31_2(OK)</t>
  </si>
  <si>
    <t>RI_32-33-34-35-36</t>
  </si>
  <si>
    <t>Cambio de nombre detalle informe</t>
  </si>
  <si>
    <t>Nuevos campos de infraestructura en implementación</t>
  </si>
  <si>
    <t>RI_37_1: SE desplegara en la correccion del dia 13.03</t>
  </si>
  <si>
    <t>RI_37_1(OK) | RI_37_2(OK) | RI_37_3(OK) | RI_37_4(OK) | RI_37_5(OK)</t>
  </si>
  <si>
    <t>Responsable de explotación</t>
  </si>
  <si>
    <t>RI_38_1(OK) | RI_38_2(OK)</t>
  </si>
  <si>
    <t>RI_39-40</t>
  </si>
  <si>
    <t>Perioricidad de explotación</t>
  </si>
  <si>
    <t>RI_41_1(OK)</t>
  </si>
  <si>
    <t>RI_42-43-44-45</t>
  </si>
  <si>
    <t>Relación de modelos en implementación</t>
  </si>
  <si>
    <t>RI_46-47</t>
  </si>
  <si>
    <t>Reasignación origen botón ingresar información inventario.</t>
  </si>
  <si>
    <t>RI_48_1(POST)</t>
  </si>
  <si>
    <t>Mostrar los gobiernos por lo que ha estado el modelo (globo de gobierno en el ciclo de vida)</t>
  </si>
  <si>
    <t>RI_49_1(POST) | RI_49_2(POST) | RI_49_3(POST)</t>
  </si>
  <si>
    <t>Acceso al formulario en uso</t>
  </si>
  <si>
    <t>RI_50_1(OK)</t>
  </si>
  <si>
    <t>Responsables del ciclo de vida</t>
  </si>
  <si>
    <t>RI_51_1: 17-feb (NOK - ALTA)</t>
  </si>
  <si>
    <t>RI_51_1(OK) | RI_51_2(N/A) | RI_51_3(OK) | RI_51_4(OK) | RI_51_5(OK) | RI_51_6(OK)</t>
  </si>
  <si>
    <t>Campo usos en en uso</t>
  </si>
  <si>
    <t>RI_52_1(OK) | RI_52_2(OK) | RI_52_3(OK) | RI_52_4(OK) | RI_52_5(OK) | RI_52_6(OK) | RI_52_7(OK) | RI_52_8(OK) | RI_52_9(OK)</t>
  </si>
  <si>
    <t>Reportes normativos</t>
  </si>
  <si>
    <t>RI_53_1(OK) | RI_53_2(OK) | RI_53_3(OK) | RI_53_4(OK) | RI_53_5(OK) | RI_53_6(OK) | RI_53_7(OK)</t>
  </si>
  <si>
    <t>Reportes normativos (MANTENEDOR)</t>
  </si>
  <si>
    <t>RI_54_1(OK)</t>
  </si>
  <si>
    <t>RI_55-56-57-58-59</t>
  </si>
  <si>
    <t>Relaciones de modelos en En uso</t>
  </si>
  <si>
    <t>Uso desde (fecha entrada en uso) desestimada n/a</t>
  </si>
  <si>
    <t>RI_60_1(N/A) | RI_60_2(N/A) | RI_60_3(N/A)</t>
  </si>
  <si>
    <t>Caducidad sin paso por gobierno</t>
  </si>
  <si>
    <t>RI_61_1(OK) | RI_61_2(OK)</t>
  </si>
  <si>
    <t>Alerta de observaciones vigentes al caducar</t>
  </si>
  <si>
    <t>RI_62_1(OK) | RI_62_2(OK)</t>
  </si>
  <si>
    <t>RI_63-64-65-66-67</t>
  </si>
  <si>
    <t>Botón de pausa en etapas activas</t>
  </si>
  <si>
    <t>Habilitar globo de ayuda para todos los campos</t>
  </si>
  <si>
    <t>RI_68_1(N/A)</t>
  </si>
  <si>
    <t>Cambio de nombre del módulo</t>
  </si>
  <si>
    <t>V_1_1(OK) | V_1_2(OK) | V_1_3(OK)</t>
  </si>
  <si>
    <t>Estructura de pestañas del módulo</t>
  </si>
  <si>
    <t>V_2_1(OK) | V_2_2(OK) | V_2_3(OK) | V_2_4(OK) | V_2_5(N/A) | V_2_6(N/A)</t>
  </si>
  <si>
    <t>Notificación por días en validación</t>
  </si>
  <si>
    <t>V_3_1(BLOQ) | V_3_2(BLOQ) | V_3_3(BLOQ) | V_3_4(BLOQ) | V_3_5(BLOQ)</t>
  </si>
  <si>
    <t>Agregar columna modelo (media)</t>
  </si>
  <si>
    <t>V_4_1(OK) | V_4_2(OK) | V_4_3(OK) | V_4_4(N/A)</t>
  </si>
  <si>
    <t>Agregar columna tipo de enfoque</t>
  </si>
  <si>
    <t>V_5_1(OK) | V_5_2(OK) | V_5_3(OK) | V_5_4(N/A)</t>
  </si>
  <si>
    <t>Crear campo tipo de enfoque con lista</t>
  </si>
  <si>
    <t>V_6_1(OK) | V_6_2(OK) | V_6_3(OK)</t>
  </si>
  <si>
    <t>Crear mantenedor árbol de decisión tipo de enfoque</t>
  </si>
  <si>
    <t>ENTREGADA CON OBS.</t>
  </si>
  <si>
    <t>V_7_1: Es necessario probar de nuevo debido a los cambios realizados en el registro de modelos asociados al informe, cuando se agregan nuevas observaciones es necesario presionar el boton asignar para que el tipo de enfoque quede asociado de manera correcta</t>
  </si>
  <si>
    <t>V_7_1(OK) | V_7_2(N/A) | V_7_3(OK)</t>
  </si>
  <si>
    <t>Crear mantenedor lista tipo de enfoque</t>
  </si>
  <si>
    <t>V_8_1(OK) | V_8_2(OK) | V_8_3(OK)</t>
  </si>
  <si>
    <t>Agregar campo origen</t>
  </si>
  <si>
    <t>V_9_1(OK) | V_9_2(OK)</t>
  </si>
  <si>
    <t>Expandir opciones de objetivo</t>
  </si>
  <si>
    <t>V_10_1: Probar nuevamente se ejecutaron scripts con las nuevas opciones</t>
  </si>
  <si>
    <t>V_10_1(OK) | V_10_2(OK)</t>
  </si>
  <si>
    <t>Validación de combinaciones origen-objetivo (desestimada)</t>
  </si>
  <si>
    <t>V_11_1(N/A)</t>
  </si>
  <si>
    <t>Regla de validación origen-objetivo (desestimada)</t>
  </si>
  <si>
    <t>V_12_1(N/A)</t>
  </si>
  <si>
    <t>Asignación de múltiples modelos</t>
  </si>
  <si>
    <t>V_13_3: Esto esta asociado al 47-1 | V_13_5: Esto esta asociado al 47-1</t>
  </si>
  <si>
    <t>V_13_1(OK) | V_13_2(OK) | V_13_3(OK) | V_13_4(OBS) | V_13_5(NOOK)</t>
  </si>
  <si>
    <t>Indicador de sugerencia de tipo de enfoque (media)</t>
  </si>
  <si>
    <t>V_14_1(OK) | V_14_2(N/A)</t>
  </si>
  <si>
    <t>Campo nota inicial</t>
  </si>
  <si>
    <t>V_15_1(OK) | V_15_2(N/A) | V_15_3(OK) | V_15_4(N/A)</t>
  </si>
  <si>
    <t>Campo nota final</t>
  </si>
  <si>
    <t>V_16_3: Corregido / probar nuevamente</t>
  </si>
  <si>
    <t>V_16_1(OK) | V_16_2(OK) | V_16_3(OK) | V_16_4(N/A)</t>
  </si>
  <si>
    <t>Mantenedor de fórmula de nota inicial y final</t>
  </si>
  <si>
    <t>V_17_1(OK) | V_17_2(OK) | V_17_3(OK)</t>
  </si>
  <si>
    <t>Contadores de nota final y cantidad (media)</t>
  </si>
  <si>
    <t>V_18_1: Corregido / probar nuevamente | V_18_2: Corregido / probar nuevamente</t>
  </si>
  <si>
    <t>V_18_1(OK) | V_18_2(OK)</t>
  </si>
  <si>
    <t>Aprobación automática de informe</t>
  </si>
  <si>
    <t>V_19_1: Revisar con Sergio en el V_19 se solicita explicitamente en el tobe que el informe sea aprobado automaticamente cuando todas las observaciones estan resueltas en validacion | V_19_2: Revisar con Sergio esto sucede porque lo explicado en el caso anterior. | V_19_3: Revisar con Sergio | V_19_4: Revisar con Sergio</t>
  </si>
  <si>
    <t>V_19_1(OK) | V_19_2(OK) | V_19_3(OK) | V_19_4(OK)</t>
  </si>
  <si>
    <t>Asignación de observación a múltiples modelos</t>
  </si>
  <si>
    <t>V_20_1(OK) | V_20_2(OK) | V_20_3(OK) | V_20_4(N/A)</t>
  </si>
  <si>
    <t>Campos nota inicial y nota final</t>
  </si>
  <si>
    <t>V_21_1(OK) | V_21_2(OK) | V_21_3(OK) | V_21_4(N/A)</t>
  </si>
  <si>
    <t>Campo categoría</t>
  </si>
  <si>
    <t>V_22_1(OK) | V_22_2(OK) | V_22_3(OBS)</t>
  </si>
  <si>
    <t>Crear mantenedor de categoría</t>
  </si>
  <si>
    <t>V_23_1(OK) | V_23_2(OK) | V_23_3(OBS)</t>
  </si>
  <si>
    <t>Campos descripción inicial y final</t>
  </si>
  <si>
    <t>V_24_1(OK) | V_24_2(OK) | V_24_3(OK) | V_24_4(OBS)</t>
  </si>
  <si>
    <t>Eliminar campo grupo capital</t>
  </si>
  <si>
    <t>V_25_1(OK) | V_25_2(OK) | V_25_3(OK)</t>
  </si>
  <si>
    <t>Desbloqueo del campo nota</t>
  </si>
  <si>
    <t>V_26_4: Corregido / probar nuevamente</t>
  </si>
  <si>
    <t>V_26_1(OK) | V_26_2(OK) | V_26_3(N/A) | V_26_4(OK) | V_26_5(OK)</t>
  </si>
  <si>
    <t>Selección de fev en observación excepcionada</t>
  </si>
  <si>
    <t>V_27_1(OK) | V_27_2(OK) | V_27_3(OK) | V_27_4(OK) | V_27_5(N/A)</t>
  </si>
  <si>
    <t>Campo usos validados</t>
  </si>
  <si>
    <t>V_28_1(OK) | V_28_2(OK) | V_28_3(OK) | V_28_4(OK)</t>
  </si>
  <si>
    <t>Restricción de envío a revisión por rol</t>
  </si>
  <si>
    <t>V_29_1: Revisar con Sergio</t>
  </si>
  <si>
    <t>V_29_1(OK) | V_29_2(OBS)</t>
  </si>
  <si>
    <t>Edición de campos por administrador en observaciones cerradas (media)</t>
  </si>
  <si>
    <t>V_30_1(OBS) | V_30_2(OBS)</t>
  </si>
  <si>
    <t>Asignación de archivos a observaciones</t>
  </si>
  <si>
    <t>V_31_1(POST) | V_31_2(POST) | V_31_3(POST) | V_31_4(POST) | V_31_5(POST) | V_31_6(POST)</t>
  </si>
  <si>
    <t>Visualización de documentos asociados</t>
  </si>
  <si>
    <t>V_32_1(POST) | V_32_2(POST) | V_32_3(POST)</t>
  </si>
  <si>
    <t>Visualización de observaciones excepcionadas en fev</t>
  </si>
  <si>
    <t>V_33_1(OK) | V_33_2(OK) | V_33_3(N/A)</t>
  </si>
  <si>
    <t>Descarga de formulario fev</t>
  </si>
  <si>
    <t>V_34_1(OK) | V_34_2(OK) | V_34_3(BLOQ) | V_34_4(BLOQ)</t>
  </si>
  <si>
    <t>Notificación por cambio de estado</t>
  </si>
  <si>
    <t>V_35_1: Revisar con Sergio esto es un error que actualmente se encuentra en produccion | V_35_2: Revisar con Joseph y no depende de ninguna correccion | V_35_3: Revisar con Joseph y no depende de ninguna correccion | V_35_4: Revisar con Joseph y no depende de ninguna correccion | V_35_5: Revisar con Joseph y no depende de ninguna correccion</t>
  </si>
  <si>
    <t>V_35_1(BLOQ) | V_35_2(BLOQ) | V_35_3(BLOQ) | V_35_4(BLOQ) | V_35_5(BLOQ)</t>
  </si>
  <si>
    <t>Corrección de cambio de estado a excepcionada</t>
  </si>
  <si>
    <t>V_36_1: Revisar con Sergio en el TOBE requerimiento V_36 se indica que cuando la observacion esta excepcionada no es posible cambiarla de estado. debe quedar bloqueada.</t>
  </si>
  <si>
    <t>V_36_1(OBS) | V_36_2(N/A)</t>
  </si>
  <si>
    <t>Conservación de días en estado en validación</t>
  </si>
  <si>
    <t>V_37_2: Corregido / probar nuevamente  caso de borde por calculo de fecha retorna 1051 y la funcion de formato de dias soporta hasta 999</t>
  </si>
  <si>
    <t>V_37_1(OK) | V_37_2(OK) | V_37_3(N/A) | V_37_4(N/A)</t>
  </si>
  <si>
    <t>Asignación de fecha de compromiso al cerrar</t>
  </si>
  <si>
    <t>V_38_1(OK) | V_38_2(OK) | V_38_3(N/A) | V_38_4(OK)</t>
  </si>
  <si>
    <t>Cálculo de nota para modelos históricos</t>
  </si>
  <si>
    <t>V_39_1(OK) | V_39_2(OK) | V_39_3(OK)</t>
  </si>
  <si>
    <t>Modificación de notas de validación — informes post mayo</t>
  </si>
  <si>
    <t>V_40_1: Reprobar porque la formula fue actualizada</t>
  </si>
  <si>
    <t>V_40_1(OK) | V_40_2(OK) | V_40_3(OK) | V_40_4(N/A) | V_40_5(N/A)</t>
  </si>
  <si>
    <t>Protección de notas de validación — informes pre junio</t>
  </si>
  <si>
    <t>V_41_1(BLOQ) | V_41_2(N/A) | V_41_3(N/A) | V_41_4(N/A)</t>
  </si>
  <si>
    <t>Inclusión del campo “criticidad de uso” por cada modelo independiente</t>
  </si>
  <si>
    <t>V_NU_42_4: corregido probar nuevamente</t>
  </si>
  <si>
    <t>V_NU_42_1(OK) | V_NU_42_2(OBS) | V_NU_42_3(N/A) | V_NU_42_4(OK)</t>
  </si>
  <si>
    <t>Implementación de botón/ícono “eliminar fev”</t>
  </si>
  <si>
    <t>V_NU_43_1(OBS) | V_NU_43_2(OBS) | V_NU_43_3(OK) | V_NU_43_4(OK)</t>
  </si>
  <si>
    <t>Aumentar longitud y habilitar texto enriquecido en descripción</t>
  </si>
  <si>
    <t>V_NU_44_2: Miguel Debe indicar mensaje</t>
  </si>
  <si>
    <t>V_NU_44_1(OBS) | V_NU_44_2(OBS) | V_NU_44_3(OBS)</t>
  </si>
  <si>
    <t>Autocompletar descripción final desde descripción inicial</t>
  </si>
  <si>
    <t>V_NU_45_1(OK) | V_NU_45_2(OBS) | V_NU_45_3(OK)</t>
  </si>
  <si>
    <t>Reemplazo de “nota” por gravedad inicial y gravedad final</t>
  </si>
  <si>
    <t>V_NU_46_1(OK) | V_NU_46_2(OK) | V_NU_46_3(OK) | V_NU_46_4(OK)</t>
  </si>
  <si>
    <t>Relación observación–modelo (muchos‑a‑muchos)</t>
  </si>
  <si>
    <t>V_NU_47_1: Postergado porque no es estandar de APEX | V_NU_47_2: No se puedes agregar modelos duplicados porque la lista no muestra modelos ya asignados</t>
  </si>
  <si>
    <t>V_NU_47_1(OK) | V_NU_47_2(N/A)</t>
  </si>
  <si>
    <t>Campo “principio”</t>
  </si>
  <si>
    <t>V_NU_48_1(OK) | V_NU_48_2(OK)</t>
  </si>
  <si>
    <t>Carga masiva de informes desde planilla excel con validador</t>
  </si>
  <si>
    <t>V_NU_49_1(NOOK) | V_NU_49_2(BLOQ) | V_NU_49_3(BLOQ) | V_NU_49_4(BLOQ)</t>
  </si>
  <si>
    <t>Campo “porc. prueba”</t>
  </si>
  <si>
    <t>V_NU_50_1(OK) | V_NU_50_2(OK) | V_NU_50_3(N/A) | V_NU_50_4(OK) | V_NU_50_5(OK)</t>
  </si>
  <si>
    <t>Se debe cambiar el nombre del módulo de obs</t>
  </si>
  <si>
    <t>SC_1.1(OK)</t>
  </si>
  <si>
    <t>Configuración de pestañas</t>
  </si>
  <si>
    <t>SC_2.1(OK) | SC_2.2(OK) | SC_2.4(OK) | SC_2.5(POST)</t>
  </si>
  <si>
    <t>SC_3.5: 28--may (NOK - ALTA)</t>
  </si>
  <si>
    <t>SC_3.1(NOOK) | SC_3.2(NOOK) | SC_3.3(NOOK) | SC_3.4(OK) | SC_3.5(N/A) | SC_3.6(OK) | SC_3.7(BLOQ)</t>
  </si>
  <si>
    <t>Mantenedor de correo electrónico</t>
  </si>
  <si>
    <t>SC_4.1: 29-may (NOK - MEDIA)</t>
  </si>
  <si>
    <t>SC_4.1(BLOQ) | SC_4.2(BLOQ) | SC_4.3(BLOQ)</t>
  </si>
  <si>
    <t>SC_5.1(BLOQ) | SC_5.2(OK) | SC_5.3(BLOQ) | SC_5.4(BLOQ)</t>
  </si>
  <si>
    <t>Grilla de datos de modelos</t>
  </si>
  <si>
    <t>PEND. ENTREGA</t>
  </si>
  <si>
    <t>SC_6.1(NOOK)</t>
  </si>
  <si>
    <t>Mantenedorsc_</t>
  </si>
  <si>
    <t>SC_7.2: 01-jun (NOK - ALTA)</t>
  </si>
  <si>
    <t>SC_7.1(NOOK) | SC_7.2(OK)</t>
  </si>
  <si>
    <t>Carga masiva desde excel de observaciones</t>
  </si>
  <si>
    <t>SC_8.1(NOOK) | SC_8.2(OK) | SC_8.3(OK) | SC_8.4(OBS) | SC_8.5(NOOK) | SC_8.6(NOOK)</t>
  </si>
  <si>
    <t>Mantenedor de plantillas</t>
  </si>
  <si>
    <t>SC_9.1(BLOQ) | SC_9.2(BLOQ) | SC_9.3(BLOQ) | SC_9.4(BLOQ) | SC_9.5(BLOQ)</t>
  </si>
  <si>
    <t>Botón nuevo registro de control</t>
  </si>
  <si>
    <t>SC_10.1(NOOK) | SC_10.2(OK) | SC_10.3(NOOK)</t>
  </si>
  <si>
    <t>Fecha último control: campo de fecha sin restricción</t>
  </si>
  <si>
    <t>SC_11.1(NOOK) | SC_11.2(OK)</t>
  </si>
  <si>
    <t>Mantenedor sc_</t>
  </si>
  <si>
    <t>SC_12.1(BLOQ) | SC_12.2(OBS) | SC_12.3(NOOK) | SC_12.4(NOOK) | SC_12.5(NOOK)</t>
  </si>
  <si>
    <t>SC_13.1(OBS) | SC_13.2(OK) | SC_13.3(NOOK) | SC_13.4(NOOK) | SC_13.5(NOOK) | SC_13.6(NOOK)</t>
  </si>
  <si>
    <t>Riesgo: el riesgo se extrae del registro consolidado</t>
  </si>
  <si>
    <t>SC_14.1(BLOQ) | SC_14.2(BLOQ) | SC_14.3(BLOQ) | SC_14.4(BLOQ) | SC_14.5(BLOQ) | SC_14.6(BLOQ)</t>
  </si>
  <si>
    <t>Botón nuevo registro de observaciones</t>
  </si>
  <si>
    <t>SC_15.1(OBS) | SC_15.2(NOOK) | SC_15.3(BLOQ) | SC_15.4(BLOQ)</t>
  </si>
  <si>
    <t>Encabezado resumen del modelo</t>
  </si>
  <si>
    <t>SC_16.1(NOOK)</t>
  </si>
  <si>
    <t>SC_17.1(OBS) | SC_17.2(NOOK) | SC_17.3(OK) | SC_17.4(NOOK) | SC_17.5(OK)</t>
  </si>
  <si>
    <t>El campo conclusión, debe tener dos opciones</t>
  </si>
  <si>
    <t>SC_18.1(OK) | SC_18.2(NOOK) | SC_18.3(NOOK)</t>
  </si>
  <si>
    <t>Correo si campo fecha próxima revisión sobrepasa la periodicidad</t>
  </si>
  <si>
    <t>SC_19.1(NOOK) | SC_19.2(BLOQ) | SC_19.4(BLOQ)</t>
  </si>
  <si>
    <t>Visualización de información</t>
  </si>
  <si>
    <t>SC_20.1(NOOK) | SC_20.2(NOOK) | SC_20.3(NOOK) | SC_20.4(NOOK) | SC_20.5(NOOK)</t>
  </si>
  <si>
    <t>Desplegar formulario solicitar extensión</t>
  </si>
  <si>
    <t>SC_21.1(NOOK) | SC_21.2(NOOK)</t>
  </si>
  <si>
    <t>Al presionar solicitar extensión aparecer mensaje de alerta</t>
  </si>
  <si>
    <t>SC_22.1(BLOQ) | SC_22.2(BLOQ) | SC_22.3(BLOQ) | SC_22.4(BLOQ)</t>
  </si>
  <si>
    <t>SC_23.1(OBS) | SC_23.2(OK)</t>
  </si>
  <si>
    <t>SC_24.1(NOOK) | SC_24.2(NOOK) | SC_24.3(NOOK) | SC_24.4(NOOK) | SC_24.5(NOOK)</t>
  </si>
  <si>
    <t>SC_25.1(VACIA) | SC_25.2(VACIA) | SC_25.3(VACIA) | SC_25.4(VACIA) | SC_25.5(VACIA) | SC_25.6(VACIA) | SC_25.7(VACIA)</t>
  </si>
  <si>
    <t>Carga masiva desde excel de registros</t>
  </si>
  <si>
    <t>SC_26.1(NOOK) | SC_26.2(NOOK)</t>
  </si>
  <si>
    <t>SC_27.1(NOOK) | SC_27.2(NOOK) | SC_27.3(NOOK) | SC_27.4(NOOK)</t>
  </si>
  <si>
    <t>Botón nuevo registro</t>
  </si>
  <si>
    <t>SC_28.1(NOOK)</t>
  </si>
  <si>
    <t>SC_29.1(OBS) | SC_29.2(NOOK)</t>
  </si>
  <si>
    <t>SC_30.1(OK) | SC_30.2(NOOK) | SC_30.2(NOOK) | SC_30.3(NOOK)</t>
  </si>
  <si>
    <t>El envío a revisión sólo debe ser posible por el responsable</t>
  </si>
  <si>
    <t>SC_31.1(NOOK) | SC_31.2(NOOK)</t>
  </si>
  <si>
    <t>Se debe alertar vía correo a seguimiento y grm, si la fecha</t>
  </si>
  <si>
    <t>SC_32.1(BLOQ)</t>
  </si>
  <si>
    <t>Correo para ingresar las conclusiones</t>
  </si>
  <si>
    <t>SC_33.1(N/A)</t>
  </si>
  <si>
    <t>SC_34.1(NOOK)</t>
  </si>
  <si>
    <t>Conclusión = alerta, campos aparecen</t>
  </si>
  <si>
    <t>SC_35.1(OK) | SC_35.2(NOOK)</t>
  </si>
  <si>
    <t>Conclusión = alerta, aumenta lista desplegables</t>
  </si>
  <si>
    <t>SC_36.1(NOOK) | SC_36.2(BLOQ) | SC_36.3(BLOQ)</t>
  </si>
  <si>
    <t>Conclusión = alerta, siempre conclusión = alerta</t>
  </si>
  <si>
    <t>SC_37.1(N/A) | SC_37.2(N/A) | SC_37.3(N/A)</t>
  </si>
  <si>
    <t>Conclusión = alerta, habilita boton prorroga</t>
  </si>
  <si>
    <t>SC_38.1(OK) | SC_38.2(NOOK) | SC_38.3(BLOQ) | SC_38.4(BLOQ)</t>
  </si>
  <si>
    <t>Conclusión = alerta, agregar icono alerta</t>
  </si>
  <si>
    <t>SC_39.1(BLOQ)</t>
  </si>
  <si>
    <t>Clasificacion activa + icono alerta</t>
  </si>
  <si>
    <t>SC_40.1(BLOQ) | SC_40.2(BLOQ) | SC_40.3(BLOQ)</t>
  </si>
  <si>
    <t>SC_41.1(NOOK) | SC_41.2(NOOK)</t>
  </si>
  <si>
    <t>Formulario de prorroga</t>
  </si>
  <si>
    <t>SC_42.1(NOOK) | SC_42.2(NOOK)</t>
  </si>
  <si>
    <t>SC_43.1(OK) | SC_43.2(NOOK)</t>
  </si>
  <si>
    <t>SC_44.1(NOOK) | SC_44.2(BLOQ) | SC_44.3(BLOQ)</t>
  </si>
  <si>
    <t>Descarga de documento</t>
  </si>
  <si>
    <t>SC_45.1(BLOQ) | SC_45.2(BLOQ) | SC_45.3(BLOQ) | SC_45.4(BLOQ) | SC_45.5(BLOQ)</t>
  </si>
  <si>
    <t>Formulario fes sigue mismo flujo del fev</t>
  </si>
  <si>
    <t>SC_46.1(BLOQ)</t>
  </si>
  <si>
    <t>SC_47.1(NOOK) | SC_47.2(BLOQ) | SC_47.3(BLOQ)</t>
  </si>
  <si>
    <t>Creación del módulo información de gobierno</t>
  </si>
  <si>
    <t>G_1.1(OK) | G_1.2(OK)</t>
  </si>
  <si>
    <t>Pantalla de asociación de modelos a comité</t>
  </si>
  <si>
    <t>G_2.1(OK) | G_2.2(OK) | G_2.3(OK) | G_2.4(OK) | G_2.5(POST)</t>
  </si>
  <si>
    <t>Campos para modelos relacionados al acta</t>
  </si>
  <si>
    <t>G_3.1(OK) | G_3.2(OK) | G_3.3(N/A)</t>
  </si>
  <si>
    <t>Notificación al revisor</t>
  </si>
  <si>
    <t>G_4.1(N/A) | G_4.2(N/A) | G_4.3(N/A) | G_4.4(N/A) | G_4.5(N/A) | G_4.6(N/A)</t>
  </si>
  <si>
    <t>Botón reparar para revisores</t>
  </si>
  <si>
    <t>G_5.1(N/A) | G_5.2(N/A) | G_5.4(N/A) | G_5.5(N/A)</t>
  </si>
  <si>
    <t>Precarga de modelos en registros encontrados</t>
  </si>
  <si>
    <t>G_6.1(OK) | G_6.2(OK) | G_6.3(OK) | G_6.4(OK)</t>
  </si>
  <si>
    <t>Carga de documentos con permisos</t>
  </si>
  <si>
    <t>G_7.1(OK) | G_7.2(POST) | G_7.3(OK) | G_7.4(OK) | G_7.5(OBS)</t>
  </si>
  <si>
    <t>Permisos de edición del revisor</t>
  </si>
  <si>
    <t>G_8.1(OK) | G_8.2(N/A) | G_8.3(OK) | G_8.4(OBS)</t>
  </si>
  <si>
    <t>Registro de información aceptada</t>
  </si>
  <si>
    <t>G_9.1(N/A) | G_9.2(N/A) | G_9.3(N/A) | G_9.4(N/A)</t>
  </si>
  <si>
    <t>Finalización de etapa de gobierno en ciclo de vida</t>
  </si>
  <si>
    <t>G_10.1(OK) | G_10.2(OK) | G_10.3(N/A) | G_10.4(OK) | G_10.5(OK)</t>
  </si>
  <si>
    <t>G_11_RI_48.1(OK) | G_11_RI_48.2(OK) | G_12_ RI_49.1(OK) | G_12_ RI_49.2(OBS) | G_12_ RI_49.3(OK)</t>
  </si>
  <si>
    <t>G_12_ RI_49</t>
  </si>
  <si>
    <t>Visualizar cambios en tabla t_ppal</t>
  </si>
  <si>
    <t>G_13.1(OK)</t>
  </si>
  <si>
    <t>Implementación del módulo control erm</t>
  </si>
  <si>
    <t>ERM_1.1(OK) | ERM_1.2(OK) | ERM_1.3(OK)</t>
  </si>
  <si>
    <t>Columna de justificación en grupos de exposición</t>
  </si>
  <si>
    <t>ERM_2.1(N/A)</t>
  </si>
  <si>
    <t>Campo análisis métrica exposición</t>
  </si>
  <si>
    <t>ERM_3.1(OK) | ERM_3.2(OK) | ERM_3.3(OK) | ERM_3.4(OK)</t>
  </si>
  <si>
    <t>Campo bases de exposición</t>
  </si>
  <si>
    <t>ERM_4.1(OK) | ERM_4.2(OK) | ERM_4.3(OK)</t>
  </si>
  <si>
    <t>Matriz de clasificación de riesgo de modelo (ajustable)</t>
  </si>
  <si>
    <t>ERM_5.1(OK) | ERM_5.2(OK) | ERM_5.3(OK) | ERM_5.4(OK) | ERM_5.5(OK)</t>
  </si>
  <si>
    <t>Matriz de clasificación de materialidad (ajustable)</t>
  </si>
  <si>
    <t>ERM_6.4: ok</t>
  </si>
  <si>
    <t>ERM_6.1(OK) | ERM_6.2(OK) | ERM_6.3(OK) | ERM_6.4(OK) | ERM_6.5(OK)</t>
  </si>
  <si>
    <t>Fórmula cálculo incertidumbre total (mantenedor)</t>
  </si>
  <si>
    <t>ERM_7.1(OK) | ERM_7.2(OK) | ERM_7.3(OK) | ERM_7.5(OK) | ERM_7.6(OK)</t>
  </si>
  <si>
    <t>Intervalos de clasificación de incertidumbre total</t>
  </si>
  <si>
    <t>ERM_8.1(OK) | ERM_8.2(OK) | ERM_8.3(OK) | ERM_8.4(OK) | ERM_8.5(OK)</t>
  </si>
  <si>
    <t>Fórmula cálculo incertidumbre de validación</t>
  </si>
  <si>
    <t>ERM_9.1(OK) | ERM_9.2(OK) | ERM_9.3(OK) | ERM_9.4(OK) | ERM_9.5(OK)</t>
  </si>
  <si>
    <t>Fórmula cálculo incertidumbre de monitoreo</t>
  </si>
  <si>
    <t>ERM_10.1(OK) | ERM_10.2(OK) | ERM_10.3(OK) | ERM_10.4(OK) | ERM_10.6(OK)</t>
  </si>
  <si>
    <t>Mantenedores con matrices ajustables (5 módulos)</t>
  </si>
  <si>
    <t>ERM_11.1(OK) | ERM_11.2(OK) | ERM_11.3(OK) | ERM_11.4(OK)</t>
  </si>
  <si>
    <t>Cálculo recurrente nota informe con reducción por gravedad</t>
  </si>
  <si>
    <t>ERM_12.1(OK) | ERM_12.2(OK) | ERM_12.3(OK)</t>
  </si>
  <si>
    <t>Nuevas columnas t_ppal para calificaciones ajustadas</t>
  </si>
  <si>
    <t>ERM_13.1(N/A) | ERM_13.2(OK) | ERM_13.3(NOOK)</t>
  </si>
  <si>
    <t>Columna promedio últimas n validaciones</t>
  </si>
  <si>
    <t>ERM_14.1(N/A)</t>
  </si>
  <si>
    <t>Autocarga de modelo y etapa en documentación</t>
  </si>
  <si>
    <t>D_1.1(NOOK) | D_1.2(NOOK) | D_1.3(OK)</t>
  </si>
  <si>
    <t>Asignación de documento a múltiples modelos</t>
  </si>
  <si>
    <t>D_2.1(OK) | D_2.2(NOOK) | D_2.3(OK) | D_2.4(OK) | D_2.5(OK)</t>
  </si>
  <si>
    <t>Versión automática incremental del documento</t>
  </si>
  <si>
    <t>D_3.1(NOOK) | D_3.2(OK) | D_3.3(NOOK) | D_3.4(OK) | D_3.5(N/A)</t>
  </si>
  <si>
    <t>Prefijo de fecha en versión del documento</t>
  </si>
  <si>
    <t>D_4.1(OBS) | D_4.2(OK) | D_4.3(OK) | D_4.4(N/A) | D_4.5(N/A) | D_4.6(N/A)</t>
  </si>
  <si>
    <t>Módulo de documentación centralizado</t>
  </si>
  <si>
    <t>D_5.1(NOOK) | D_5.2(NOOK) | D_5.3(OK) | D_5.4(NOOK)</t>
  </si>
  <si>
    <t>Permisos de revisor y administrador sobre documentos</t>
  </si>
  <si>
    <t>D_6.1(OK) | D_6.2(OK) | D_6.3(OK) | D_6.4(OK)</t>
  </si>
  <si>
    <t>Log de cambios en documentos</t>
  </si>
  <si>
    <t>D_7_1(NOOK) | D_7_2(NOOK) | D_7_3(NOOK) | D_7_4(N/A) | D_7_5(N/A)</t>
  </si>
  <si>
    <t>Creación del módulo de incidencias del modelo</t>
  </si>
  <si>
    <t>IN_1.1(OK)</t>
  </si>
  <si>
    <t>Definición de incidencias de modelo - desestimada</t>
  </si>
  <si>
    <t>IN_2.1(N/A)</t>
  </si>
  <si>
    <t>Creación de tabla t_obs_inc</t>
  </si>
  <si>
    <t>IN_3.1(OK) | IN_3.2(OK) | IN_3.3(OK) | IN_3.4(OK)</t>
  </si>
  <si>
    <t>Carga masiva de incidencias</t>
  </si>
  <si>
    <t>IN_4.1(OK) | IN_4.2(OK) | IN_4.3(OK) | IN_4.4(OK) | IN_4.5(OK)</t>
  </si>
  <si>
    <t>Alertas de correo para gestión de incidencias</t>
  </si>
  <si>
    <t>IN_5.1(BLOQ) | IN_5.2(N/A) | IN_5.3(BLOQ) | IN_5.4(OK)</t>
  </si>
  <si>
    <t>Vinculación de calificación con erm desestimada</t>
  </si>
  <si>
    <t>IN_6.1(N/A) | IN_7.1(NOOK) | IN_7.2(OK) | IN_7.3(OK) | IN_7.4(N/A) | IN_7.5(OK) | IN_7.6(N/A) | IN_7.7(OK)</t>
  </si>
  <si>
    <t>IN_7</t>
  </si>
  <si>
    <t>Campos del formulario de incidencia del modelo</t>
  </si>
  <si>
    <t>Mantenedor de estados de incidencia</t>
  </si>
  <si>
    <t>IN_8.1(OK) | IN_8.2(OK) | IN_8.3(OK) | IN_8.4(N/A) | IN_8.5(N/A) | IN_8.6(OK)</t>
  </si>
  <si>
    <t>Mantenedor de calificaciones de incidencia</t>
  </si>
  <si>
    <t>IN_9.1(OK) | IN_9.2(N/A) | IN_9.3(OBS)</t>
  </si>
  <si>
    <t>Eliminación de incidencias con motivo</t>
  </si>
  <si>
    <t>IN_10.1(OK) | IN_10.2(OK) | IN_10.3(OK) | IN_10.4(OK) | IN_10.5(OK) | IN_10.6(OK)</t>
  </si>
  <si>
    <t>Dos pestañas resumen e inventario</t>
  </si>
  <si>
    <t>II_1.1(OK) | II_1.2(OK) | II_1.3(OK) | II_1.4(OK)</t>
  </si>
  <si>
    <t>Pestaña resumen con funcionalidad de visualización</t>
  </si>
  <si>
    <t>II_2.1(OK) | II_2.2(N/A)</t>
  </si>
  <si>
    <t>Generación de tabla inventario por query o mantenedor</t>
  </si>
  <si>
    <t>II_3.1(N/A) | II_3.2(N/A) | II_3.3(N/A) | II_3.4(N/A)</t>
  </si>
  <si>
    <t>Vista de tabla inventario por perfiles</t>
  </si>
  <si>
    <t>II_4.1(OK) | II_4.2(N/A) | II_4.3(OK) | II_4.4(OK) | II_4.5(N/A)</t>
  </si>
  <si>
    <t>Formato de tablas según estándares actuales</t>
  </si>
  <si>
    <t>II_5.1(OK) | II_5.2(OK)</t>
  </si>
  <si>
    <t>Restricción de valores de vista por área y familia</t>
  </si>
  <si>
    <t>II_6.1(N/A)</t>
  </si>
  <si>
    <t>Mantenedores para las queries del inventario</t>
  </si>
  <si>
    <t>II_7.1(OK) | II_7.2(OK) | II_7.3(OK) | II_7.4(OK) | II_7.5(N/A) | II_7.6(OK)</t>
  </si>
  <si>
    <t>Filtros por familias, erm y otros criterios</t>
  </si>
  <si>
    <t>II_8.1(OK) | II_8.2(OK) | II_8.3(OBS) | II_8.4(OK) | II_8.5(OK)</t>
  </si>
  <si>
    <t>Descarga de tabla de inventario</t>
  </si>
  <si>
    <t>II_9.1(OK) | II_9.2(OK)</t>
  </si>
  <si>
    <t>Nota de validación reflejada en resumen</t>
  </si>
  <si>
    <t>II_10.1(OK) | II_10.2(OBS) | II_10.3(OK) | II_10.4(OK)</t>
  </si>
  <si>
    <t>Ajuste de nombres de componentes erm</t>
  </si>
  <si>
    <t>II_11.1(OBS)</t>
  </si>
  <si>
    <t>Colores para clasificación de componentes erm</t>
  </si>
  <si>
    <t>II_12.1(OK) | II_12.2(OK) | II_12.3(OK)</t>
  </si>
  <si>
    <t>Ventanas de validación con detalle</t>
  </si>
  <si>
    <t>II_13.1(OK) | II_13.2(OBS) | II_13.3(OK) | II_13.4(N/A)</t>
  </si>
  <si>
    <t>Nueva clasificación de componentes erm</t>
  </si>
  <si>
    <t>II_14.1(OK) | II_14.2(OK)</t>
  </si>
  <si>
    <t>Eliminación de campos de validación específicos</t>
  </si>
  <si>
    <t>II_15.1(OK)</t>
  </si>
  <si>
    <t>Configuración de colores por mantenedor</t>
  </si>
  <si>
    <t>II_16.1(N/A) | II_16.2(N/A) | II_16.3(N/A) | II_16.4(N/A) | II_16.5(N/A) | II_16.6(N/A)</t>
  </si>
  <si>
    <t>Visualización de solo notas finales de validación</t>
  </si>
  <si>
    <t>II_17.1(OK) | II_17.4(OK)</t>
  </si>
  <si>
    <t>Nuevo módulo de filiales</t>
  </si>
  <si>
    <t>F_1.1(OK) | F_1.2(OK)</t>
  </si>
  <si>
    <t>Inventario propio de n filiales</t>
  </si>
  <si>
    <t>F_2.1(OBS) | F_2.2(OK) | F_2.3(OK)</t>
  </si>
  <si>
    <t>Carga excel de inventarios de filiales</t>
  </si>
  <si>
    <t>F_3.1(OK) | F_3.2(OK) | F_3.3(OK)</t>
  </si>
  <si>
    <t>Visualización post-carga de inventario</t>
  </si>
  <si>
    <t>F_4.1(OK) | F_4.2(OK)</t>
  </si>
  <si>
    <t>Selección de institución desde mantenedor</t>
  </si>
  <si>
    <t>F_5.1(OK) | F_5.2(OK) | F_5.3(OK)</t>
  </si>
  <si>
    <t>Campo institución</t>
  </si>
  <si>
    <t>F_6.1(OK)</t>
  </si>
  <si>
    <t>Mantenedor de lista de institución -- desestimada</t>
  </si>
  <si>
    <t>F_7(N/A)</t>
  </si>
  <si>
    <t>Mantenedor para valores del campo institución -- desestimada</t>
  </si>
  <si>
    <t>F_8.1(N/A) | F_8.2(N/A)</t>
  </si>
  <si>
    <t>Solicitud de aprobación en carga de archivo</t>
  </si>
  <si>
    <t>F_9.1(OK) | F_9.2(OK)</t>
  </si>
  <si>
    <t>Descarte de cambios por revisor</t>
  </si>
  <si>
    <t>F_10.1(OK) | F_10.2(OBS)</t>
  </si>
  <si>
    <t>Notificación de aprobación al revisor</t>
  </si>
  <si>
    <t>F_11.1(OK) | F_11.2(OBS)</t>
  </si>
  <si>
    <t>Transformación de ventana pop-up a página completa</t>
  </si>
  <si>
    <t>A_1.1(OK) | A_1.2(OK) | A_1.3(OK) | A_1.4(OK)</t>
  </si>
  <si>
    <t>Visualización de id modelo con versión y nombre</t>
  </si>
  <si>
    <t>A_2.1(OK) | A_2.2(OK) | A_2.3(N/A) | A_2.4(OK) | A_2.5(OK)</t>
  </si>
  <si>
    <t>Edición de imagen/texto del banner y mantenedor</t>
  </si>
  <si>
    <t>MT_1-2.1(OK)</t>
  </si>
  <si>
    <t>MT_1-2.2(OK) | MT_1-2.3(OK) | MT_1-2.4(OK) | MT_1-2.5(N/A) | MT_1-2.6(OK)</t>
  </si>
  <si>
    <t>Reestructuración del menú de navegación</t>
  </si>
  <si>
    <t>MT_3.1(NOOK) | MT_3.2(OK) | MT_3.3(OK) | MT_3.4(OK)</t>
  </si>
  <si>
    <t>Restricción de acceso por perfil</t>
  </si>
  <si>
    <t>MT_4.1(N/A) | MT_4.2(N/A) | MT_4.3(N/A) | MT_4.4(N/A) | MT_4.5(N/A) | MT_4.6(N/A)</t>
  </si>
  <si>
    <t>Chatbot con ia para consultas - desestimada</t>
  </si>
  <si>
    <t>MT_5.1(N/A)</t>
  </si>
  <si>
    <t>Mantenedor de tipo de consultas de datos - desestimada</t>
  </si>
  <si>
    <t>MT_6.1(N/A)</t>
  </si>
  <si>
    <t>Mantenedor de tipo de consultas de manuales - desestimada</t>
  </si>
  <si>
    <t>MT_7.1(N/A)</t>
  </si>
  <si>
    <t>Eliminar sección de noticias</t>
  </si>
  <si>
    <t>MT_8.1(OK) | MT_8.2(OK) | MT_8.3(OK)</t>
  </si>
  <si>
    <t>Gráficos de información del inventario</t>
  </si>
  <si>
    <t>MT_9.1(OK) | MT_9.2(NOOK) | MT_9.3(OK) | MT_9.4(OK) | MT_9.5(OK)</t>
  </si>
  <si>
    <t>Mostrar familia en buscador de modelos</t>
  </si>
  <si>
    <t>MT_10.1(NOOK) | MT_10.2(NOOK) | MT_10.3(NOOK) | MT_10.4(OK) | MT_10.5(NOOK)</t>
  </si>
  <si>
    <t>Mantenedor de columnas adicionales</t>
  </si>
  <si>
    <t>MT_11.1(N/A) | MT_11.2(N/A) | MT_11.3(N/A) | MT_11.4(N/A) | MT_11.5(N/A)</t>
  </si>
  <si>
    <t>Selección de notificaciones por correo</t>
  </si>
  <si>
    <t>MT_12.1(N/A) | MT_12.2(N/A) | MT_12.3(N/A) | MT_12.4(N/A) | MT_12.5(N/A)</t>
  </si>
  <si>
    <t>Correo de vencimientos de validación</t>
  </si>
  <si>
    <t>MT_13.1(BLOQ) | MT_13.2(BLOQ) | MT_13.3(BLOQ) | MT_13.4(BLOQ) | MT_13.5(BLOQ) | MT_13.6(BLOQ)</t>
  </si>
  <si>
    <t>Correo de vencimientos de seguimiento</t>
  </si>
  <si>
    <t>MT_14.1(BLOQ) | MT_14.2(BLOQ) | MT_14.3(BLOQ) | MT_14.4(BLOQ) | MT_14.5(BLOQ)</t>
  </si>
  <si>
    <t>Correo de vencimientos de control</t>
  </si>
  <si>
    <t>MT_15.1(BLOQ) | MT_15.2(BLOQ) | MT_15.3(BLOQ) | MT_15.4(BLOQ)</t>
  </si>
  <si>
    <t>Correo de vencimientos de auditoría</t>
  </si>
  <si>
    <t>MT_16.1(BLOQ) | MT_16.2(BLOQ) | MT_16.3(BLOQ) | MT_16.4(BLOQ) | MT_16.5(BLOQ)</t>
  </si>
  <si>
    <t>Informe de modelos para comité técnico - desestimada</t>
  </si>
  <si>
    <t>MT_17.1(VACIA)</t>
  </si>
  <si>
    <t>Filtros en descargas de tablas – desestimada</t>
  </si>
  <si>
    <t>MT_18.1(VACIA)</t>
  </si>
  <si>
    <t>Eliminación lógica de registros</t>
  </si>
  <si>
    <t>MT_19.1(VACIA) | MT_19.3(VACIA) | MT_19.4(VACIA) | MT_19.5(VACIA)</t>
  </si>
  <si>
    <t>Descarga de prórroga en validación</t>
  </si>
  <si>
    <t>MT_20.1(VACIA) | MT_20.2(VACIA) | MT_20.3(VACIA) | MT_20.4(VACIA)</t>
  </si>
  <si>
    <t>Descarga de prórroga en seguimiento</t>
  </si>
  <si>
    <t>MT_21.1(VACIA) | MT_21.2(VACIA) | MT_21.3(VACIA) | MT_21.4(VACIA)</t>
  </si>
  <si>
    <t>Visualización de log de cambios</t>
  </si>
  <si>
    <t>MT_22.1(N/A) | MT_22.2(N/A) | MT_22.3(N/A) | MT_22.4(N/A) | MT_22.5(N/A)</t>
  </si>
  <si>
    <t>Mejoras visuales: caracteres en campos</t>
  </si>
  <si>
    <t>MT_23.1(N/A) | MT_23.2(N/A) | MT_23.3(N/A) | MT_23.4(N/A)</t>
  </si>
  <si>
    <t>Marcaje masivo de notificaciones</t>
  </si>
  <si>
    <t>MT_24.1(VACIA) | MT_24.2(VACIA) | MT_24.3(VACIA) | MT_24.4(VACIA)</t>
  </si>
  <si>
    <t>Mejoras visuales: tooltips</t>
  </si>
  <si>
    <t>MT_25.1(N/A) | MT_25.2(N/A) | MT_25.3(N/A) | MT_25.4(N/A)</t>
  </si>
  <si>
    <t>Formato de fecha mes-año</t>
  </si>
  <si>
    <t>MT_26.1(N/A) | MT_26.2(N/A) | MT_26.3(N/A) | MT_26.4(N/A)</t>
  </si>
  <si>
    <t>Notificaciones de validación al revisor</t>
  </si>
  <si>
    <t>MT_27.1(N/A) | MT_27.2(N/A) | MT_27.3(N/A) | MT_27.4(N/A)</t>
  </si>
  <si>
    <t>Marcaje masivo de notificaciones (repetida) - desestimada</t>
  </si>
  <si>
    <t>MT_28.1(N/A)</t>
  </si>
  <si>
    <t>Pausar validaciones continuas</t>
  </si>
  <si>
    <t>MT_29.1(N/A) | MT_29.2(N/A) | MT_29.3(N/A) | MT_29.4(N/A) | MT_29.5(N/A)</t>
  </si>
  <si>
    <t>Actualización de familias en módulos</t>
  </si>
  <si>
    <t>MT_30.1(VACIA) | MT_30.2(VACIA) | MT_30.3(VACIA) | MT_30.4(VACIA)</t>
  </si>
  <si>
    <t>Cambios en mantenedores no retroactivos</t>
  </si>
  <si>
    <t>MT_31.1(VACIA) | MT_31.2(VACIA) | MT_31.3(VACIA) | MT_31.4(VACIA) | MT_31.5(VACIA) | MT_31.6(VACIA)</t>
  </si>
  <si>
    <t>Mensaje al cerrar formulario sin guardar</t>
  </si>
  <si>
    <t>MT_32.1(N/A) | MT_32.2(N/A) | MT_32.3(N/A)</t>
  </si>
  <si>
    <t>Campos extras ocultos en formularios</t>
  </si>
  <si>
    <t>MT_33.1(N/A) | MT_33.2(N/A) | MT_33.3(N/A) | MT_33.4(N/A)</t>
  </si>
  <si>
    <t>Carga de responsable de explotación</t>
  </si>
  <si>
    <t>MT_34.1(N/A) | MT_34.2(N/A) | MT_34.3(N/A)</t>
  </si>
  <si>
    <t>Carga de tipo de enfoque</t>
  </si>
  <si>
    <t>MT_35.1(VACIA) | MT_35.2(VACIA) | MT_35.3(VACIA)</t>
  </si>
  <si>
    <t>Mantenedores de plantillas de observaciones</t>
  </si>
  <si>
    <t>MT_36.1(VACIA) | MT_36.2(VACIA) | MT_36.3(VACIA) | MT_36.4(VACIA) | MT_36.5(VACIA)</t>
  </si>
  <si>
    <t>Globo de descripción de campos</t>
  </si>
  <si>
    <t>MT_37.1(N/A) | MT_37.2(N/A) | MT_37.3(N/A) | MT_37.4(N/A) | MT_37.5(N/A)</t>
  </si>
  <si>
    <t>Visualización de funcionalidades por admin</t>
  </si>
  <si>
    <t>MT_38.1(N/A) | MT_38.2(N/A)</t>
  </si>
  <si>
    <t>Activación de piloto por etapa</t>
  </si>
  <si>
    <t>MT_39.1(N/A) | MT_39.3(N/A) | MT_39.4(N/A) | MT_39.5(N/A)</t>
  </si>
  <si>
    <t>RI_7-8_1: 28-ene (NOK) | RI_7-8_2: 28-ene (NOK) | RI_7-8_3: 28-ene (NOK - ALTA) | RI_7-8_4: 28-ene (NOK - ALTA) | RI_7-8_5: 28-ene (NOK - ALTA) | RI_7-8_6: 28-ene (NOK - BLOQUEANTE) | RI_7-8_8: 28-ene (NOK - MEDIA) | RI_7-8_9: 28-ene (NOK - BAJA) | RI_7-8_10: 28-ene (NOK - BLOQUEANTE) | RI_7-8_11: 28-ene (NOK - BAJA) | RI_7-8_12: 28-ene (NOK - ALTA) | RI_7-8_13: 28-ene (NOK - ALTA) | RI_7-8_14: 28-ene (NOK - BAJA) | RI_7-8_15: 5-feb (NOK - BAJA) | RI_7-8_16: 5-feb (BLOQUEADO PARA EJECUTAR) | RI_7-8_17: Comportamiento revisando en reunion 02.03  es un comportamiento nativo de la grilla.</t>
  </si>
  <si>
    <t>RI_7-8_1(OK) | RI_7-8_2(OK) | RI_7-8_3(OK) | RI_7-8_4(OK) | RI_7-8_5(OK) | RI_7-8_6(OK) | RI_7-8_7(OK) | RI_7-8_8(OK) | RI_7-8_9(OK) | RI_7-8_10(OK) | RI_7-8_11(OK) | RI_7-8_12(OK) | RI_7-8_13(OK) | RI_7-8_14(OK) | RI_7-8_15(OK) | RI_7-8_16(OK) | RI_7-8_17(OK)</t>
  </si>
  <si>
    <t>RI_11-12_6: 11-feb (NOK - BLOQUEANTE)</t>
  </si>
  <si>
    <t>RI_11-12_1(OK) | RI_11-12_2(OK) | RI_11-12_3(OK) | RI_11-12_4(OK) | RI_11-12_5(OK) | RI_11-12_6(OK)</t>
  </si>
  <si>
    <t>RI_13-15-16-17_4: 5-feb (NOK - BAJA)</t>
  </si>
  <si>
    <t>RI_13-15-16-17_1(OK) | RI_13-15-16-17_2(OK) | RI_13-15-16-17_3(OK) | RI_13-15-16-17_4(OK)</t>
  </si>
  <si>
    <t>RI_19-20-21-23-24_1: 10 feb (NOK-BLOQUEANTE) | RI_19-20-21-23-24_3: Se corrigio en | RI_19-20-21-23-24_9: 10 feb (NOK-ALTA) | RI_19-20-21-23-24_10: 10 feb (NOK-ALTA) | RI_19-20-21-23-24_13: Corregido en despliegue del 05.03</t>
  </si>
  <si>
    <t>RI_19-20-21-23-24_1(OK) | RI_19-20-21-23-24_2(OK) | RI_19-20-21-23-24_3(OK) | RI_19-20-21-23-24_4(OK) | RI_19-20-21-23-24_5(OK) | RI_19-20-21-23-24_6(OK) | RI_19-20-21-23-24_7(OK) | RI_19-20-21-23-24_8(OK) | RI_19-20-21-23-24_9(OK) | RI_19-20-21-23-24_10(OK) | RI_19-20-21-23-24_11(OK) | RI_19-20-21-23-24_12(OK) | RI_19-20-21-23-24_13(OK)</t>
  </si>
  <si>
    <t>RI_25-26-27-28-29_1: 5-feb (NOK - BLOQUEANTE) | RI_25-26-27-28-29_2: 5-feb (NOK - BLOQUEANTE) | RI_25-26-27-28-29_3: 5-feb (NOK - BLOQUEANTE) | RI_25-26-27-28-29_5: Corregido en despliegue del 01.03 | RI_25-26-27-28-29_6: Corregido en despliegue del 01.03 | RI_25-26-27-28-29_8: Corregido en despliegue del 01.03 | RI_25-26-27-28-29_9: 5-feb (NOK - BLOQUEANTE) | RI_25-26-27-28-29_10: 5-feb (NOK - BLOQUEANTE)</t>
  </si>
  <si>
    <t>RI_25-26-27-28-29_1(OK) | RI_25-26-27-28-29_2(OK) | RI_25-26-27-28-29_3(OK) | RI_25-26-27-28-29_4(OK) | RI_25-26-27-28-29_5(OK) | RI_25-26-27-28-29_6(OK) | RI_25-26-27-28-29_7(OK) | RI_25-26-27-28-29_8(OK) | RI_25-26-27-28-29_9(OK) | RI_25-26-27-28-29_10(OK)</t>
  </si>
  <si>
    <t>RI_32-33-34-35-36_1: 5-feb (NOK - BLOQUEANTE) | RI_32-33-34-35-36_2: 5-feb (NOK - BLOQUEANTE) | RI_32-33-34-35-36_3: 5-feb (NOK - BLOQUEANTE) | RI_32-33-34-35-36_4: 5-feb (NOK - BLOQUEANTE) | RI_32-33-34-35-36_5: 5-feb (NOK - BLOQUEANTE)</t>
  </si>
  <si>
    <t>RI_32-33-34-35-36_1(OK) | RI_32-33-34-35-36_2(OK) | RI_32-33-34-35-36_3(OK) | RI_32-33-34-35-36_4(OK) | RI_32-33-34-35-36_5(OK)</t>
  </si>
  <si>
    <t>RI_39-40_1: Corregido en despliegue del 05.03 | RI_39-40_2: Corregido en despliegue del 05.03 | RI_39-40_3: Corregido en despliegue del 05.03 | RI_39-40_4: Corregido en despliegue del 05.03 | RI_39-40_5: Corregido en despliegue del 05.03</t>
  </si>
  <si>
    <t>RI_39-40_1(OK) | RI_39-40_2(OK) | RI_39-40_3(OK) | RI_39-40_4(OK) | RI_39-40_5(OK)</t>
  </si>
  <si>
    <t>RI_42-43-44-45_3: Corregido en despliegue del 05.03 | RI_42-43-44-45_4: Corregido en despliegue del 05.03 | RI_42-43-44-45_5: Corregido en despliegue del 05.03 | RI_42-43-44-45_6: Corregido en despliegue del 05.03 | RI_42-43-44-45_7: Corregido en despliegue del 05.03 | RI_42-43-44-45_8: Corregido en despliegue del 05.03</t>
  </si>
  <si>
    <t>RI_42-43-44-45_1(OK) | RI_42-43-44-45_2(OK) | RI_42-43-44-45_3(OK) | RI_42-43-44-45_4(OK) | RI_42-43-44-45_5(OK) | RI_42-43-44-45_6(OK) | RI_42-43-44-45_7(OK) | RI_42-43-44-45_8(OK) | RI_42-43-44-45_9(OK) | RI_42-43-44-45_10(OK)</t>
  </si>
  <si>
    <t>RI_46-47_2: Corregido en despliegue del 05.03 | RI_46-47_3: Corregido en despliegue del 05.03 | RI_46-47_4: Corregido en despliegue del 05.03 | RI_46-47_5: Corregido en despliegue del 05.03 | RI_46-47_6: Corregido en despliegue del 05.03</t>
  </si>
  <si>
    <t>RI_46-47_1(OK) | RI_46-47_2(OK) | RI_46-47_3(OK) | RI_46-47_4(OK) | RI_46-47_5(OK) | RI_46-47_6(OK) | RI_46-47_7(OK) | RI_46-47_8(OK)</t>
  </si>
  <si>
    <t>RI_55-56-57-58-59_1(OK) | RI_55-56-57-58-59_2(OK) | RI_55-56-57-58-59_3(OK) | RI_55-56-57-58-59_4(OK) | RI_55-56-57-58-59_5(OK) | RI_55-56-57-58-59_6(OK) | RI_55-56-57-58-59_7(OK) | RI_55-56-57-58-59_8(OK) | RI_55-56-57-58-59_9(OK) | RI_55-56-57-58-59_10(OK)</t>
  </si>
  <si>
    <t>RI_63-64-65-66-67_1(POST)</t>
  </si>
  <si>
    <t>REPORTE EJECUTIVO - CONSOLIDADO UAT + CRUCE STATUS</t>
  </si>
  <si>
    <t>METRICA</t>
  </si>
  <si>
    <t>VALOR</t>
  </si>
  <si>
    <t>OBSERVACION</t>
  </si>
  <si>
    <t>Total HUs en STATUS ENTREGAS</t>
  </si>
  <si>
    <t>HUs en CRUCE STATUS</t>
  </si>
  <si>
    <t>HUs con UAT (casos ejecutados)</t>
  </si>
  <si>
    <t>94.6% del total</t>
  </si>
  <si>
    <t>HUs sin UAT</t>
  </si>
  <si>
    <t>Pendientes de ejecucion</t>
  </si>
  <si>
    <t>Total casos ejecutados</t>
  </si>
  <si>
    <t>Casos OK</t>
  </si>
  <si>
    <t>51.2%</t>
  </si>
  <si>
    <t>Casos NOOK</t>
  </si>
  <si>
    <t>9.2%</t>
  </si>
  <si>
    <t>Casos POST (postergados)</t>
  </si>
  <si>
    <t>3.6%</t>
  </si>
  <si>
    <t>Casos OBS (observaciones)</t>
  </si>
  <si>
    <t>3.8%</t>
  </si>
  <si>
    <t>Casos N/A (no aplica)</t>
  </si>
  <si>
    <t>18.0%</t>
  </si>
  <si>
    <t>Casos BLOQ (bloqueados)</t>
  </si>
  <si>
    <t>9.4%</t>
  </si>
  <si>
    <t>Casos ANA (analisis)</t>
  </si>
  <si>
    <t>0.0%</t>
  </si>
  <si>
    <t>Casos VACIA (sin resultado)</t>
  </si>
  <si>
    <t>4.8%</t>
  </si>
  <si>
    <t xml:space="preserve">  ENTREGADA</t>
  </si>
  <si>
    <t xml:space="preserve">  PEND. ENTREGA</t>
  </si>
  <si>
    <t xml:space="preserve">  DESESTIMADA</t>
  </si>
  <si>
    <t xml:space="preserve">  POSTERGADA</t>
  </si>
  <si>
    <t xml:space="preserve">  ENTREGADA CON OBS.</t>
  </si>
  <si>
    <t>Modulo</t>
  </si>
  <si>
    <t>HUs en STATUS</t>
  </si>
  <si>
    <t>HUs con UAT</t>
  </si>
  <si>
    <t>Cobertura</t>
  </si>
  <si>
    <t>100.0%</t>
  </si>
  <si>
    <t>92.3%</t>
  </si>
  <si>
    <t>90.0%</t>
  </si>
  <si>
    <t>76.0%</t>
  </si>
  <si>
    <t>TOTAL</t>
  </si>
  <si>
    <t>TOTAL GENERAL</t>
  </si>
  <si>
    <t>HU Destinadas a Periodo de Garantia</t>
  </si>
  <si>
    <t>ENTREGADO</t>
  </si>
  <si>
    <t>GARANTIA</t>
  </si>
  <si>
    <t>PENDIENTE DE ENTREGA</t>
  </si>
  <si>
    <t>Sergio</t>
  </si>
  <si>
    <t>Alex</t>
  </si>
  <si>
    <t>Continuidad</t>
  </si>
  <si>
    <t>El historial del modelo no se ve afectado por los ajustes en la funcionalidad de "Gestión de Pausas"</t>
  </si>
  <si>
    <t>11 CASOS</t>
  </si>
  <si>
    <t xml:space="preserve">Seguimiento y Control </t>
  </si>
  <si>
    <t>Resumen HU Destinadas a Periodo de Garantia</t>
  </si>
  <si>
    <t>RI_63-64-65-66-67_2</t>
  </si>
  <si>
    <t>RI_63-64-65-66-67_3</t>
  </si>
  <si>
    <t>RI_63-64-65-66-67_4</t>
  </si>
  <si>
    <t>RI_63-64-65-66-67_5</t>
  </si>
  <si>
    <t>RI_63-64-65-66-67_6</t>
  </si>
  <si>
    <t>RI_63-64-65-66-67_7</t>
  </si>
  <si>
    <t>RI_63-64-65-66-67_8</t>
  </si>
  <si>
    <t>RI_63-64-65-66-67_9</t>
  </si>
  <si>
    <t>RI_63-64-65-66-67_10</t>
  </si>
  <si>
    <t>RI_63-64-65-66-67_11</t>
  </si>
  <si>
    <t>Código</t>
  </si>
  <si>
    <t>Asignado a:</t>
  </si>
  <si>
    <t>Tipo de</t>
  </si>
  <si>
    <t>Caso de Prueba</t>
  </si>
  <si>
    <t>Caso de Prueba Nuevo?</t>
  </si>
  <si>
    <t>Fecha</t>
  </si>
  <si>
    <t>Detalle</t>
  </si>
  <si>
    <t>Fecha Entrega Corrección</t>
  </si>
  <si>
    <t>Observaciones Corrección</t>
  </si>
  <si>
    <t>Comentario  Provedor</t>
  </si>
  <si>
    <t>CORREO</t>
  </si>
  <si>
    <t>PRUEBA</t>
  </si>
  <si>
    <t xml:space="preserve">Si existen cambios en los estados de las observaciones de «Vigente» a «En Validación», se debe enviar automáticamen un correo electrónico a los equipos de GRM y Validación al día siguiente con las listas de ID Informes e ID Observación que cambiaron de estado con el formato del correo a acordar (ID Informe, Id Observación, Esado anterior, Estado actual, Fecha de cambio de estado). </t>
  </si>
  <si>
    <t>Depende de envío de correo (corrección V_35_1)</t>
  </si>
  <si>
    <t xml:space="preserve">Revisar con Joseph y no depende de ninguna correccion </t>
  </si>
  <si>
    <t xml:space="preserve">Si no existen cambios de estado en el periodo, el sistema registra en los logs que se ejecutó el proceso pero no había notificaciones pendientes. </t>
  </si>
  <si>
    <t xml:space="preserve">Las modificaciones realizadas en las notas de validación no deben poder modificarse para los modelos y metodologías cuyos informes sean anteriores a Junio 2025 (Fecha limite protección: 01/06/2025). </t>
  </si>
  <si>
    <r>
      <t>30/06</t>
    </r>
    <r>
      <rPr>
        <sz val="10"/>
        <color rgb="FF000000"/>
        <rFont val="Aptos"/>
        <family val="2"/>
      </rPr>
      <t>: Se esta revisando la carga de las notas finales de los informes, dado que actualmente no se están calculando bien</t>
    </r>
  </si>
  <si>
    <t>11-Aug</t>
  </si>
  <si>
    <t>10-Aug</t>
  </si>
  <si>
    <t>ENTREGA</t>
  </si>
  <si>
    <t>Depende de envío de correo. Requiere apoyo de Desarrollo para ejecutar</t>
  </si>
  <si>
    <t>4-Aug</t>
  </si>
  <si>
    <t>04/08: Bloqueado por historia SC_3.3</t>
  </si>
  <si>
    <t xml:space="preserve">Al entrar el modelo En Uso por primera vez, se debe informar al responsable de seguimiento para identificar si está dentro de su Alcance a través de correo electrónico a la casilla del área. </t>
  </si>
  <si>
    <t xml:space="preserve">En mantenedor se debe poder agregar nuevos correos, editar los existentes o activar/desactivar registros. (GRM_ADMINISTRADOR debe poder realizar todas las operaciones (agregar/editar/eliminar)) </t>
  </si>
  <si>
    <t xml:space="preserve">Seguimiento y Control / Control </t>
  </si>
  <si>
    <t>7-Aug</t>
  </si>
  <si>
    <t xml:space="preserve">Seguimiento y Control / Control  </t>
  </si>
  <si>
    <t>5-Aug</t>
  </si>
  <si>
    <t xml:space="preserve">Sólo los perfiles GRM_REVISOR y GRM_ADMINISTRADOR pueden realizar esta acción. En caso de que no se tenga el rol necesario, se muestra mensaje: “No tiene permisos para realizar esta acción”. </t>
  </si>
  <si>
    <t xml:space="preserve">Seguimiento y Control / Control / Extensión  </t>
  </si>
  <si>
    <t xml:space="preserve">Usuario sin permisos: el sistema detecta que el usuario no tiene el rol requerido y muestra mensaje “No tiene permisos para realizar esta acción”. </t>
  </si>
  <si>
    <t xml:space="preserve">Seguimiento y Control / Seguimiento  </t>
  </si>
  <si>
    <r>
      <t>El sistema evalúa periódicamente las condiciones de alerta según la configuración establecida en los mantenedores. Cuando se cumplen las condiciones (por ejemplo, la</t>
    </r>
    <r>
      <rPr>
        <b/>
        <sz val="10"/>
        <color rgb="FF000000"/>
        <rFont val="Aptos"/>
        <family val="2"/>
      </rPr>
      <t xml:space="preserve"> fecha de próximo control sobrepasa la periodicidad</t>
    </r>
    <r>
      <rPr>
        <sz val="10"/>
        <color rgb="FF000000"/>
        <rFont val="Aptos"/>
        <family val="2"/>
      </rPr>
      <t xml:space="preserve">), el sistema genera automáticamente la alerta correspondiente. El sistema envía un correo electrónico al destinatario configurado (Revisor, Responsable de Seguimiento) con los detalles de la alerta. El sistema registra el envío de la alerta en el log de auditoría para trazabilidad. </t>
    </r>
  </si>
  <si>
    <t xml:space="preserve">Seguimiento y Control / Seguimiento </t>
  </si>
  <si>
    <r>
      <t>Al pasar el mouse por sobre el ícono, un tooltip muestra: "</t>
    </r>
    <r>
      <rPr>
        <b/>
        <sz val="10"/>
        <color rgb="FF000000"/>
        <rFont val="Aptos"/>
        <family val="2"/>
      </rPr>
      <t>F.Alerta desde: [DD/MM/YYYY]</t>
    </r>
    <r>
      <rPr>
        <sz val="10"/>
        <color rgb="FF000000"/>
        <rFont val="Aptos"/>
        <family val="2"/>
      </rPr>
      <t>"</t>
    </r>
  </si>
  <si>
    <t xml:space="preserve">Seguimiento y Control / Seguimiento / FES </t>
  </si>
  <si>
    <t xml:space="preserve">Seguimiento y Control / Seguimiento / FES  </t>
  </si>
  <si>
    <t>Depende de envío de correo. Debe ejecutarse diariamente hasta que se apruebe, ya que no se puede esperar hasta el 1er día hábil del mes</t>
  </si>
  <si>
    <t>REVISION</t>
  </si>
  <si>
    <t>automation</t>
  </si>
  <si>
    <t xml:space="preserve">Template Carga Masiva </t>
  </si>
  <si>
    <t>Entregado 17-08</t>
  </si>
  <si>
    <t>Entrega</t>
  </si>
  <si>
    <t>Entregado 21-08</t>
  </si>
  <si>
    <t>22.3</t>
  </si>
  <si>
    <t>23.3</t>
  </si>
  <si>
    <t>24.4</t>
  </si>
  <si>
    <t>29.2</t>
  </si>
  <si>
    <t>30.1</t>
  </si>
  <si>
    <t>36.1</t>
  </si>
  <si>
    <t>42.2</t>
  </si>
  <si>
    <t>43.1</t>
  </si>
  <si>
    <t>43.2</t>
  </si>
  <si>
    <t>44.1</t>
  </si>
  <si>
    <t>44.2</t>
  </si>
  <si>
    <t>44.3</t>
  </si>
  <si>
    <t>45.2</t>
  </si>
  <si>
    <t>3.1</t>
  </si>
  <si>
    <t>3.7</t>
  </si>
  <si>
    <t>15.4</t>
  </si>
  <si>
    <t>30.2</t>
  </si>
  <si>
    <t>31.2</t>
  </si>
  <si>
    <t>8.4</t>
  </si>
  <si>
    <t>12.2</t>
  </si>
  <si>
    <t>29.1</t>
  </si>
  <si>
    <t>7.5</t>
  </si>
  <si>
    <t>10.2</t>
  </si>
  <si>
    <t>49.2</t>
  </si>
  <si>
    <t>Etiquetas de fila</t>
  </si>
  <si>
    <t>(en blanco)</t>
  </si>
  <si>
    <t>Total general</t>
  </si>
  <si>
    <t>Etiquetas de columna</t>
  </si>
  <si>
    <t>Cuenta de Resultado</t>
  </si>
  <si>
    <t>13.4</t>
  </si>
  <si>
    <t>Si no existen etapas activas, el botón "Pausar" se encuentra desactivado</t>
  </si>
  <si>
    <t>Al presionar el botón "Pausar", se abre la pantalla "Gestión de Pausas" y sus solicitudes históricas, que contiene el flujo actual de cambio de etapas y pausas, y los siguientes campos: "ID Solicitud" "Modelo", "Estado", "Fecha", "Pausado" y "Motivo Solicitud"</t>
  </si>
  <si>
    <t>Al presionar el botón "+ Nueva Solicitud", se abre el Formulario de solicitud de Pausas "Gestión Pausas", que contiene los elementos:</t>
  </si>
  <si>
    <t>- Sección "Modelo": "Modelo", "Estado actual", "Pausado"</t>
  </si>
  <si>
    <t>- Sección "Solicitud": "ID Solicitud". "Fecha solicitud", "Estado solicitud", Lista desplegable "Etapa", switch "Pausado", "Motivo Solicitud", Adjuntar archivos "Documentación", Botones "Cancelar" y "Aplicar"</t>
  </si>
  <si>
    <t>La funcionalidad del Formulario de solicitud de pausas no se ve afectado por la eliminación del campo "Etapa actual"</t>
  </si>
  <si>
    <t>La lista desplegable "Etapa" del Formulario de solicitud de Pausas, muestra sólo las etapas "activas" y "pausadas"</t>
  </si>
  <si>
    <t>Los campos dependientes entre sí, "Etapa" y Switch "Pausado", operan según las siguientes casuísticas:</t>
  </si>
  <si>
    <t>- Switch Deshabilitado y Desactivado: En caso de seleccionar una etapa activa</t>
  </si>
  <si>
    <t>Total GARANTIA (NOK + OBS + POST)</t>
  </si>
  <si>
    <t>Registro diario</t>
  </si>
  <si>
    <t>NA</t>
  </si>
  <si>
    <t>NA, solo porque no se deberia borrar nada, solo desactivar</t>
  </si>
  <si>
    <t>FILIALES</t>
  </si>
  <si>
    <t>Caso </t>
  </si>
  <si>
    <t>Tipo</t>
  </si>
  <si>
    <t>Fecha Orig</t>
  </si>
  <si>
    <t>Corrección</t>
  </si>
  <si>
    <t>ERM__13.1</t>
  </si>
  <si>
    <t>ERM__13.2</t>
  </si>
  <si>
    <t>ERM__13.3</t>
  </si>
  <si>
    <t>ERM_12.4</t>
  </si>
  <si>
    <t>II_12_1</t>
  </si>
  <si>
    <t>II_7_2</t>
  </si>
  <si>
    <t>II_8_1</t>
  </si>
  <si>
    <t>x</t>
  </si>
  <si>
    <t>RI_0.3</t>
  </si>
  <si>
    <t>Desbloqueo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</si>
</sst>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8" x14ac:knownFonts="1">
    <font>
      <sz val="11"/>
      <color theme="1"/>
      <name val="Calibri"/>
      <family val="2"/>
      <scheme val="minor"/>
    </font>
    <font>
      <b/>
      <sz val="11"/>
      <color rgb="FFFFFFFF"/>
      <name val="Calibri"/>
      <family val="2"/>
    </font>
    <font>
      <sz val="10"/>
      <name val="Calibri"/>
      <family val="2"/>
    </font>
    <font>
      <b/>
      <sz val="10"/>
      <color rgb="FFFFFFFF"/>
      <name val="Calibri"/>
      <family val="2"/>
    </font>
    <font>
      <b/>
      <sz val="14"/>
      <color rgb="FF1F4E78"/>
      <name val="Calibri"/>
      <family val="2"/>
    </font>
    <font>
      <b/>
      <sz val="11"/>
      <color rgb="FF1F4E78"/>
      <name val="Calibri"/>
      <family val="2"/>
    </font>
    <font>
      <b/>
      <sz val="11"/>
      <name val="Calibri"/>
      <family val="2"/>
    </font>
    <font>
      <b/>
      <sz val="16"/>
      <color theme="1"/>
      <name val="Calibri"/>
      <family val="2"/>
      <scheme val="minor"/>
    </font>
    <font>
      <sz val="9"/>
      <name val="Calibri"/>
      <family val="2"/>
    </font>
    <font>
      <sz val="10"/>
      <color rgb="FF000000"/>
      <name val="Aptos"/>
      <family val="2"/>
    </font>
    <font>
      <b/>
      <sz val="10"/>
      <color rgb="FF000000"/>
      <name val="Aptos"/>
      <family val="2"/>
    </font>
    <font>
      <sz val="10"/>
      <color rgb="FFFF0000"/>
      <name val="Aptos"/>
      <family val="2"/>
    </font>
    <font>
      <b/>
      <sz val="10"/>
      <color rgb="FFFFFFFF"/>
      <name val="Aptos"/>
      <family val="2"/>
    </font>
    <font>
      <sz val="11"/>
      <color rgb="FF000000"/>
      <name val="Aptos Narrow"/>
      <family val="2"/>
    </font>
    <font>
      <sz val="10"/>
      <name val="Aptos"/>
      <family val="2"/>
    </font>
    <font>
      <b/>
      <sz val="10"/>
      <name val="Aptos"/>
      <family val="2"/>
    </font>
    <font>
      <b/>
      <sz val="10"/>
      <color rgb="FF000000"/>
      <name val="Aptos"/>
      <family val="2"/>
    </font>
    <font>
      <sz val="11"/>
      <color rgb="FF000000"/>
      <name val="Segoe UI"/>
      <family val="2"/>
    </font>
    <font>
      <sz val="11"/>
      <color rgb="FF000000"/>
      <name val="Calibri"/>
      <family val="2"/>
      <scheme val="minor"/>
    </font>
    <font>
      <b/>
      <sz val="11"/>
      <color theme="3" tint="0.39997558519241921"/>
      <name val="Calibri"/>
      <family val="2"/>
      <scheme val="minor"/>
    </font>
    <font>
      <b/>
      <sz val="11"/>
      <color theme="1"/>
      <name val="Calibri"/>
      <family val="2"/>
      <scheme val="minor"/>
    </font>
    <font>
      <sz val="11"/>
      <color theme="1" tint="0.14999847407452621"/>
      <name val="Calibri"/>
      <family val="2"/>
      <scheme val="minor"/>
    </font>
    <font>
      <sz val="11"/>
      <color theme="0" tint="-0.34998626667073579"/>
      <name val="Calibri"/>
      <family val="2"/>
      <scheme val="minor"/>
    </font>
    <font>
      <strike/>
      <sz val="10"/>
      <color rgb="FFFF0000"/>
      <name val="Aptos"/>
      <family val="2"/>
    </font>
    <font>
      <strike/>
      <sz val="11"/>
      <color rgb="FFFF0000"/>
      <name val="Aptos Narrow"/>
      <family val="2"/>
    </font>
    <font>
      <b/>
      <sz val="11"/>
      <color rgb="FF000000"/>
      <name val="Calibri"/>
      <family val="2"/>
      <scheme val="minor"/>
    </font>
    <font>
      <sz val="11"/>
      <color rgb="FF242424"/>
      <name val="Calibri"/>
      <family val="2"/>
      <scheme val="minor"/>
    </font>
    <font>
      <sz val="11"/>
      <color rgb="FF242424"/>
      <name val="Aptos"/>
      <family val="2"/>
    </font>
  </fonts>
  <fills count="22">
    <fill>
      <patternFill patternType="none"/>
    </fill>
    <fill>
      <patternFill patternType="gray125"/>
    </fill>
    <fill>
      <patternFill patternType="solid">
        <fgColor rgb="FF1F4E78"/>
        <bgColor rgb="FF1F4E78"/>
      </patternFill>
    </fill>
    <fill>
      <patternFill patternType="solid">
        <fgColor rgb="FFC6EFCE"/>
        <bgColor rgb="FFC6EFCE"/>
      </patternFill>
    </fill>
    <fill>
      <patternFill patternType="solid">
        <fgColor rgb="FFD9D9D9"/>
        <bgColor rgb="FFD9D9D9"/>
      </patternFill>
    </fill>
    <fill>
      <patternFill patternType="solid">
        <fgColor rgb="FFF4B084"/>
        <bgColor rgb="FFF4B084"/>
      </patternFill>
    </fill>
    <fill>
      <patternFill patternType="solid">
        <fgColor rgb="FFBDD7EE"/>
        <bgColor rgb="FFBDD7EE"/>
      </patternFill>
    </fill>
    <fill>
      <patternFill patternType="solid">
        <fgColor rgb="FFFFC7CE"/>
        <bgColor rgb="FFFFC7CE"/>
      </patternFill>
    </fill>
    <fill>
      <patternFill patternType="solid">
        <fgColor rgb="FFFFE699"/>
        <bgColor rgb="FFFFE699"/>
      </patternFill>
    </fill>
    <fill>
      <patternFill patternType="solid">
        <fgColor rgb="FFA6A6A6"/>
        <bgColor rgb="FFA6A6A6"/>
      </patternFill>
    </fill>
    <fill>
      <patternFill patternType="solid">
        <fgColor rgb="FFFFEB9C"/>
        <bgColor rgb="FFFFEB9C"/>
      </patternFill>
    </fill>
    <fill>
      <patternFill patternType="solid">
        <fgColor rgb="FFF2F2F2"/>
        <bgColor rgb="FF000000"/>
      </patternFill>
    </fill>
    <fill>
      <patternFill patternType="solid">
        <fgColor rgb="FF0070C0"/>
        <bgColor rgb="FF000000"/>
      </patternFill>
    </fill>
    <fill>
      <patternFill patternType="solid">
        <fgColor rgb="FFFFFF00"/>
        <bgColor rgb="FF000000"/>
      </patternFill>
    </fill>
    <fill>
      <patternFill patternType="solid">
        <fgColor rgb="FFFFFFCC"/>
        <bgColor rgb="FF000000"/>
      </patternFill>
    </fill>
    <fill>
      <patternFill patternType="solid">
        <fgColor theme="6"/>
        <bgColor indexed="64"/>
      </patternFill>
    </fill>
    <fill>
      <patternFill patternType="solid">
        <fgColor rgb="FFFFFF00"/>
        <bgColor indexed="64"/>
      </patternFill>
    </fill>
    <fill>
      <patternFill patternType="solid">
        <fgColor theme="5" tint="0.59999389629810485"/>
        <bgColor indexed="64"/>
      </patternFill>
    </fill>
    <fill>
      <patternFill patternType="solid">
        <fgColor rgb="FFFFFFFF"/>
        <bgColor rgb="FF000000"/>
      </patternFill>
    </fill>
    <fill>
      <patternFill patternType="solid">
        <fgColor rgb="FFFF0000"/>
        <bgColor indexed="64"/>
      </patternFill>
    </fill>
    <fill>
      <patternFill patternType="solid">
        <fgColor theme="4" tint="0.79998168889431442"/>
        <bgColor theme="4" tint="0.79998168889431442"/>
      </patternFill>
    </fill>
    <fill>
      <patternFill patternType="solid">
        <fgColor rgb="FFBFBFBF"/>
        <bgColor rgb="FF000000"/>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BFBFBF"/>
      </left>
      <right style="thin">
        <color rgb="FFBFBFBF"/>
      </right>
      <top style="thin">
        <color rgb="FFBFBFBF"/>
      </top>
      <bottom/>
      <diagonal/>
    </border>
    <border>
      <left style="thin">
        <color rgb="FFBFBFBF"/>
      </left>
      <right style="thin">
        <color rgb="FFBFBFBF"/>
      </right>
      <top/>
      <bottom/>
      <diagonal/>
    </border>
    <border>
      <left style="thin">
        <color rgb="FFBFBFBF"/>
      </left>
      <right style="thin">
        <color indexed="64"/>
      </right>
      <top style="thin">
        <color rgb="FFBFBFBF"/>
      </top>
      <bottom/>
      <diagonal/>
    </border>
    <border>
      <left style="thin">
        <color indexed="64"/>
      </left>
      <right/>
      <top style="thin">
        <color indexed="64"/>
      </top>
      <bottom style="thin">
        <color indexed="64"/>
      </bottom>
      <diagonal/>
    </border>
    <border>
      <left style="thin">
        <color rgb="FFBFBFBF"/>
      </left>
      <right style="thin">
        <color rgb="FFBFBFBF"/>
      </right>
      <top/>
      <bottom style="thin">
        <color rgb="FFBFBFBF"/>
      </bottom>
      <diagonal/>
    </border>
    <border>
      <left style="thin">
        <color rgb="FFBFBFBF"/>
      </left>
      <right/>
      <top/>
      <bottom/>
      <diagonal/>
    </border>
    <border>
      <left/>
      <right style="thin">
        <color rgb="FFBFBFBF"/>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bottom style="thin">
        <color indexed="64"/>
      </bottom>
      <diagonal/>
    </border>
    <border>
      <left style="thin">
        <color theme="0" tint="-0.34998626667073579"/>
      </left>
      <right style="thin">
        <color theme="0" tint="-0.34998626667073579"/>
      </right>
      <top style="thin">
        <color theme="0" tint="-0.34998626667073579"/>
      </top>
      <bottom/>
      <diagonal/>
    </border>
  </borders>
  <cellStyleXfs count="1">
    <xf numFmtId="0" fontId="0" fillId="0" borderId="0"/>
  </cellStyleXfs>
  <cellXfs count="142">
    <xf numFmtId="0" fontId="0" fillId="0" borderId="0" xfId="0"/>
    <xf numFmtId="0" fontId="1" fillId="2" borderId="1" xfId="0" applyFont="1" applyFill="1" applyBorder="1"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0" fillId="6" borderId="0" xfId="0" applyFill="1" applyAlignment="1">
      <alignment horizontal="center" vertical="center"/>
    </xf>
    <xf numFmtId="0" fontId="0" fillId="7" borderId="0" xfId="0" applyFill="1" applyAlignment="1">
      <alignment horizontal="center" vertical="center"/>
    </xf>
    <xf numFmtId="0" fontId="0" fillId="8" borderId="0" xfId="0" applyFill="1" applyAlignment="1">
      <alignment horizontal="center" vertical="center"/>
    </xf>
    <xf numFmtId="0" fontId="2" fillId="0" borderId="1" xfId="0" applyFont="1" applyBorder="1" applyAlignment="1">
      <alignment horizontal="left" vertical="top" wrapText="1"/>
    </xf>
    <xf numFmtId="0" fontId="2" fillId="8" borderId="1" xfId="0"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6" borderId="1" xfId="0" applyFont="1" applyFill="1" applyBorder="1" applyAlignment="1">
      <alignment horizontal="center" vertical="center"/>
    </xf>
    <xf numFmtId="0" fontId="3" fillId="9" borderId="1" xfId="0" applyFont="1" applyFill="1" applyBorder="1" applyAlignment="1">
      <alignment horizontal="center" vertical="center"/>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0" fontId="6" fillId="8" borderId="1" xfId="0" applyFont="1" applyFill="1" applyBorder="1" applyAlignment="1">
      <alignment horizontal="left" vertical="center" wrapText="1"/>
    </xf>
    <xf numFmtId="0" fontId="7" fillId="0" borderId="0" xfId="0" applyFont="1"/>
    <xf numFmtId="0" fontId="1" fillId="2" borderId="2" xfId="0" applyFont="1" applyFill="1" applyBorder="1" applyAlignment="1">
      <alignment horizontal="center" vertical="center" wrapText="1"/>
    </xf>
    <xf numFmtId="0" fontId="8" fillId="0" borderId="2" xfId="0" applyFont="1" applyBorder="1" applyAlignment="1">
      <alignment horizontal="left" vertical="top" wrapText="1"/>
    </xf>
    <xf numFmtId="0" fontId="8" fillId="10" borderId="2" xfId="0" applyFont="1" applyFill="1" applyBorder="1" applyAlignment="1">
      <alignment horizontal="center" vertical="center"/>
    </xf>
    <xf numFmtId="0" fontId="8" fillId="0" borderId="3" xfId="0" applyFont="1" applyBorder="1" applyAlignment="1">
      <alignment horizontal="left" vertical="top" wrapText="1"/>
    </xf>
    <xf numFmtId="0" fontId="9" fillId="0" borderId="3" xfId="0" applyFont="1" applyBorder="1" applyAlignment="1">
      <alignment vertical="center" wrapText="1"/>
    </xf>
    <xf numFmtId="0" fontId="9" fillId="0" borderId="3" xfId="0" applyFont="1" applyBorder="1" applyAlignment="1">
      <alignment vertical="center"/>
    </xf>
    <xf numFmtId="0" fontId="9" fillId="0" borderId="3" xfId="0" applyFont="1" applyBorder="1" applyAlignment="1">
      <alignment horizontal="left" vertical="center" wrapText="1"/>
    </xf>
    <xf numFmtId="0" fontId="10" fillId="11" borderId="3" xfId="0" applyFont="1" applyFill="1" applyBorder="1" applyAlignment="1">
      <alignment horizontal="center" vertical="center" wrapText="1"/>
    </xf>
    <xf numFmtId="0" fontId="10" fillId="11" borderId="3" xfId="0" applyFont="1" applyFill="1" applyBorder="1" applyAlignment="1">
      <alignment horizontal="center" vertical="center"/>
    </xf>
    <xf numFmtId="0" fontId="11" fillId="0" borderId="3" xfId="0" applyFont="1" applyBorder="1" applyAlignment="1">
      <alignment vertical="center" wrapText="1"/>
    </xf>
    <xf numFmtId="0" fontId="8" fillId="0" borderId="4" xfId="0" applyFont="1" applyBorder="1" applyAlignment="1">
      <alignment horizontal="left" vertical="top" wrapText="1"/>
    </xf>
    <xf numFmtId="0" fontId="12" fillId="12" borderId="5" xfId="0" applyFont="1" applyFill="1" applyBorder="1" applyAlignment="1">
      <alignment vertical="top"/>
    </xf>
    <xf numFmtId="0" fontId="12" fillId="12" borderId="5" xfId="0" applyFont="1" applyFill="1" applyBorder="1" applyAlignment="1">
      <alignment horizontal="center" vertical="top"/>
    </xf>
    <xf numFmtId="0" fontId="12" fillId="12" borderId="5" xfId="0" applyFont="1" applyFill="1" applyBorder="1" applyAlignment="1">
      <alignment horizontal="left" vertical="top"/>
    </xf>
    <xf numFmtId="0" fontId="12" fillId="12" borderId="6" xfId="0" applyFont="1" applyFill="1" applyBorder="1" applyAlignment="1">
      <alignment horizontal="center" vertical="top" wrapText="1"/>
    </xf>
    <xf numFmtId="0" fontId="12" fillId="12" borderId="6" xfId="0" applyFont="1" applyFill="1" applyBorder="1" applyAlignment="1">
      <alignment horizontal="center" vertical="top"/>
    </xf>
    <xf numFmtId="0" fontId="12" fillId="12" borderId="5" xfId="0" applyFont="1" applyFill="1" applyBorder="1" applyAlignment="1">
      <alignment vertical="center"/>
    </xf>
    <xf numFmtId="0" fontId="12" fillId="12" borderId="6" xfId="0" applyFont="1" applyFill="1" applyBorder="1" applyAlignment="1">
      <alignment horizontal="left" vertical="center"/>
    </xf>
    <xf numFmtId="0" fontId="12" fillId="12" borderId="7" xfId="0" applyFont="1" applyFill="1" applyBorder="1" applyAlignment="1">
      <alignment vertical="top"/>
    </xf>
    <xf numFmtId="0" fontId="12" fillId="12" borderId="3" xfId="0" applyFont="1" applyFill="1" applyBorder="1" applyAlignment="1">
      <alignment vertical="top"/>
    </xf>
    <xf numFmtId="0" fontId="13" fillId="0" borderId="2" xfId="0" applyFont="1" applyBorder="1"/>
    <xf numFmtId="0" fontId="9"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2" xfId="0" applyFont="1" applyBorder="1" applyAlignment="1">
      <alignment horizontal="left" vertical="center" wrapText="1"/>
    </xf>
    <xf numFmtId="0" fontId="9" fillId="0" borderId="2" xfId="0" applyFont="1" applyBorder="1" applyAlignment="1">
      <alignment vertical="center"/>
    </xf>
    <xf numFmtId="0" fontId="15" fillId="11" borderId="2" xfId="0" applyFont="1" applyFill="1" applyBorder="1" applyAlignment="1">
      <alignment horizontal="center" vertical="center" wrapText="1"/>
    </xf>
    <xf numFmtId="16" fontId="9" fillId="11" borderId="2" xfId="0" applyNumberFormat="1" applyFont="1" applyFill="1" applyBorder="1" applyAlignment="1">
      <alignment horizontal="center" vertical="center" wrapText="1"/>
    </xf>
    <xf numFmtId="0" fontId="10" fillId="11" borderId="2" xfId="0" applyFont="1" applyFill="1" applyBorder="1" applyAlignment="1">
      <alignment horizontal="center" vertical="center" wrapText="1"/>
    </xf>
    <xf numFmtId="0" fontId="10" fillId="11" borderId="2" xfId="0" applyFont="1" applyFill="1" applyBorder="1" applyAlignment="1">
      <alignment horizontal="center" vertical="center"/>
    </xf>
    <xf numFmtId="0" fontId="9" fillId="0" borderId="2" xfId="0" applyFont="1" applyBorder="1" applyAlignment="1">
      <alignment vertical="center" wrapText="1"/>
    </xf>
    <xf numFmtId="0" fontId="13" fillId="0" borderId="3" xfId="0" applyFont="1" applyBorder="1"/>
    <xf numFmtId="0" fontId="14" fillId="0" borderId="3" xfId="0" applyFont="1" applyBorder="1" applyAlignment="1">
      <alignment vertical="center" wrapText="1"/>
    </xf>
    <xf numFmtId="0" fontId="15" fillId="11" borderId="3" xfId="0" applyFont="1" applyFill="1" applyBorder="1" applyAlignment="1">
      <alignment vertical="center" wrapText="1"/>
    </xf>
    <xf numFmtId="16" fontId="9" fillId="11" borderId="3" xfId="0" applyNumberFormat="1" applyFont="1" applyFill="1" applyBorder="1" applyAlignment="1">
      <alignment vertical="center" wrapText="1"/>
    </xf>
    <xf numFmtId="0" fontId="10" fillId="11" borderId="3" xfId="0" applyFont="1" applyFill="1" applyBorder="1" applyAlignment="1">
      <alignment vertical="center" wrapText="1"/>
    </xf>
    <xf numFmtId="0" fontId="10" fillId="11" borderId="3" xfId="0" applyFont="1" applyFill="1" applyBorder="1" applyAlignment="1">
      <alignment vertical="center"/>
    </xf>
    <xf numFmtId="0" fontId="9" fillId="13" borderId="2" xfId="0" applyFont="1" applyFill="1" applyBorder="1" applyAlignment="1">
      <alignment vertical="center"/>
    </xf>
    <xf numFmtId="0" fontId="9" fillId="0" borderId="2" xfId="0" applyFont="1" applyBorder="1"/>
    <xf numFmtId="0" fontId="10" fillId="0" borderId="3" xfId="0" applyFont="1" applyBorder="1" applyAlignment="1">
      <alignment vertical="center" wrapText="1"/>
    </xf>
    <xf numFmtId="0" fontId="10" fillId="14" borderId="3" xfId="0" applyFont="1" applyFill="1" applyBorder="1" applyAlignment="1">
      <alignment vertical="center" wrapText="1"/>
    </xf>
    <xf numFmtId="0" fontId="16" fillId="13" borderId="3" xfId="0" applyFont="1" applyFill="1" applyBorder="1" applyAlignment="1">
      <alignment vertical="center" wrapText="1"/>
    </xf>
    <xf numFmtId="0" fontId="9" fillId="11" borderId="3" xfId="0" applyFont="1" applyFill="1" applyBorder="1" applyAlignment="1">
      <alignment vertical="center" wrapText="1"/>
    </xf>
    <xf numFmtId="0" fontId="9" fillId="0" borderId="3" xfId="0" applyFont="1" applyBorder="1"/>
    <xf numFmtId="0" fontId="9" fillId="11" borderId="2" xfId="0" applyFont="1" applyFill="1" applyBorder="1" applyAlignment="1">
      <alignment horizontal="center" vertical="center" wrapText="1"/>
    </xf>
    <xf numFmtId="0" fontId="9" fillId="13" borderId="2" xfId="0" applyFont="1" applyFill="1" applyBorder="1" applyAlignment="1">
      <alignment horizontal="left" vertical="center" wrapText="1"/>
    </xf>
    <xf numFmtId="0" fontId="15" fillId="0" borderId="3" xfId="0" applyFont="1" applyBorder="1" applyAlignment="1">
      <alignment horizontal="left" vertical="top" wrapText="1"/>
    </xf>
    <xf numFmtId="0" fontId="9" fillId="0" borderId="3" xfId="0" applyFont="1" applyBorder="1" applyAlignment="1">
      <alignment vertical="top"/>
    </xf>
    <xf numFmtId="0" fontId="15" fillId="0" borderId="3" xfId="0" applyFont="1" applyBorder="1" applyAlignment="1">
      <alignment vertical="top" wrapText="1"/>
    </xf>
    <xf numFmtId="0" fontId="16" fillId="11" borderId="3" xfId="0" applyFont="1" applyFill="1" applyBorder="1" applyAlignment="1">
      <alignment vertical="center" wrapText="1"/>
    </xf>
    <xf numFmtId="16" fontId="9" fillId="11" borderId="3" xfId="0" applyNumberFormat="1" applyFont="1" applyFill="1" applyBorder="1" applyAlignment="1">
      <alignment vertical="center"/>
    </xf>
    <xf numFmtId="0" fontId="9" fillId="0" borderId="2" xfId="0" applyFont="1" applyBorder="1" applyAlignment="1">
      <alignment horizontal="center" vertical="center"/>
    </xf>
    <xf numFmtId="0" fontId="16" fillId="11" borderId="2" xfId="0" applyFont="1" applyFill="1" applyBorder="1" applyAlignment="1">
      <alignment horizontal="center" vertical="center" wrapText="1"/>
    </xf>
    <xf numFmtId="16" fontId="9" fillId="11" borderId="2" xfId="0" applyNumberFormat="1" applyFont="1" applyFill="1" applyBorder="1" applyAlignment="1">
      <alignment horizontal="center" vertical="center"/>
    </xf>
    <xf numFmtId="0" fontId="9" fillId="0" borderId="8" xfId="0" applyFont="1" applyBorder="1" applyAlignment="1">
      <alignment vertical="center"/>
    </xf>
    <xf numFmtId="0" fontId="10" fillId="0" borderId="2" xfId="0" applyFont="1" applyBorder="1" applyAlignment="1">
      <alignment vertical="center"/>
    </xf>
    <xf numFmtId="0" fontId="9" fillId="0" borderId="8" xfId="0" applyFont="1" applyBorder="1" applyAlignment="1">
      <alignment vertical="center" wrapText="1"/>
    </xf>
    <xf numFmtId="0" fontId="9" fillId="13" borderId="3" xfId="0" applyFont="1" applyFill="1" applyBorder="1" applyAlignment="1">
      <alignment vertical="center"/>
    </xf>
    <xf numFmtId="0" fontId="9" fillId="0" borderId="2" xfId="0" applyFont="1" applyBorder="1" applyAlignment="1">
      <alignment horizontal="left" vertical="center"/>
    </xf>
    <xf numFmtId="0" fontId="14" fillId="11" borderId="2" xfId="0" applyFont="1" applyFill="1" applyBorder="1" applyAlignment="1">
      <alignment horizontal="center" vertical="center" wrapText="1"/>
    </xf>
    <xf numFmtId="0" fontId="17" fillId="11" borderId="2" xfId="0" applyFont="1" applyFill="1" applyBorder="1" applyAlignment="1">
      <alignment vertical="center" wrapText="1"/>
    </xf>
    <xf numFmtId="0" fontId="0" fillId="15" borderId="1" xfId="0" applyFill="1" applyBorder="1" applyAlignment="1">
      <alignment horizontal="left" vertical="center" wrapText="1"/>
    </xf>
    <xf numFmtId="0" fontId="0" fillId="16" borderId="1" xfId="0" applyFill="1" applyBorder="1" applyAlignment="1">
      <alignment horizontal="left" vertical="center" wrapText="1"/>
    </xf>
    <xf numFmtId="0" fontId="0" fillId="16" borderId="0" xfId="0" applyFill="1"/>
    <xf numFmtId="0" fontId="0" fillId="17" borderId="0" xfId="0" applyFill="1"/>
    <xf numFmtId="0" fontId="0" fillId="0" borderId="2" xfId="0" applyBorder="1"/>
    <xf numFmtId="0" fontId="0" fillId="15" borderId="2" xfId="0" applyFill="1" applyBorder="1"/>
    <xf numFmtId="0" fontId="18" fillId="0" borderId="0" xfId="0" applyFont="1"/>
    <xf numFmtId="0" fontId="18" fillId="0" borderId="1" xfId="0" applyFont="1" applyBorder="1" applyAlignment="1">
      <alignment horizontal="center"/>
    </xf>
    <xf numFmtId="0" fontId="0" fillId="0" borderId="0" xfId="0" applyAlignment="1">
      <alignment horizontal="left"/>
    </xf>
    <xf numFmtId="0" fontId="0" fillId="19" borderId="0" xfId="0" applyFill="1"/>
    <xf numFmtId="0" fontId="20" fillId="0" borderId="0" xfId="0" applyFont="1"/>
    <xf numFmtId="0" fontId="20" fillId="0" borderId="12" xfId="0" applyFont="1" applyBorder="1" applyAlignment="1">
      <alignment horizontal="left"/>
    </xf>
    <xf numFmtId="0" fontId="21" fillId="0" borderId="12" xfId="0" applyFont="1" applyBorder="1" applyAlignment="1">
      <alignment horizontal="left"/>
    </xf>
    <xf numFmtId="0" fontId="0" fillId="0" borderId="12" xfId="0" applyBorder="1"/>
    <xf numFmtId="0" fontId="20" fillId="20" borderId="12" xfId="0" applyFont="1" applyFill="1" applyBorder="1"/>
    <xf numFmtId="16" fontId="20" fillId="0" borderId="0" xfId="0" applyNumberFormat="1" applyFont="1"/>
    <xf numFmtId="0" fontId="0" fillId="0" borderId="1" xfId="0" applyBorder="1" applyAlignment="1">
      <alignment horizontal="center" vertical="center" wrapText="1"/>
    </xf>
    <xf numFmtId="0" fontId="19" fillId="0" borderId="1" xfId="0" applyFont="1"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xf>
    <xf numFmtId="0" fontId="20" fillId="0" borderId="12" xfId="0" applyFont="1" applyBorder="1" applyAlignment="1">
      <alignment horizontal="center" vertical="center"/>
    </xf>
    <xf numFmtId="0" fontId="22" fillId="0" borderId="0" xfId="0" pivotButton="1" applyFont="1"/>
    <xf numFmtId="0" fontId="22" fillId="0" borderId="0" xfId="0" pivotButton="1" applyFont="1" applyAlignment="1">
      <alignment horizontal="center" vertical="center"/>
    </xf>
    <xf numFmtId="0" fontId="0" fillId="0" borderId="0" xfId="0" applyAlignment="1">
      <alignment horizontal="center"/>
    </xf>
    <xf numFmtId="0" fontId="0" fillId="0" borderId="12" xfId="0" applyBorder="1" applyAlignment="1">
      <alignment horizontal="center"/>
    </xf>
    <xf numFmtId="0" fontId="13" fillId="0" borderId="2" xfId="0" applyFont="1" applyBorder="1" applyAlignment="1">
      <alignment horizontal="center" vertical="center"/>
    </xf>
    <xf numFmtId="0" fontId="13" fillId="0" borderId="2" xfId="0" applyFont="1" applyBorder="1" applyAlignment="1">
      <alignment horizontal="center" vertical="center" wrapText="1"/>
    </xf>
    <xf numFmtId="0" fontId="18" fillId="3" borderId="0" xfId="0" applyFont="1" applyFill="1" applyAlignment="1">
      <alignment horizontal="center" vertical="center"/>
    </xf>
    <xf numFmtId="0" fontId="0" fillId="0" borderId="14" xfId="0" applyBorder="1" applyAlignment="1">
      <alignment horizontal="center" vertical="center"/>
    </xf>
    <xf numFmtId="0" fontId="0" fillId="0" borderId="14" xfId="0" pivotButton="1" applyBorder="1" applyAlignment="1">
      <alignment horizontal="center" vertical="center"/>
    </xf>
    <xf numFmtId="0" fontId="22" fillId="0" borderId="14" xfId="0" applyFont="1" applyBorder="1" applyAlignment="1">
      <alignment horizontal="center" vertical="center"/>
    </xf>
    <xf numFmtId="0" fontId="13" fillId="0" borderId="0" xfId="0" applyFont="1"/>
    <xf numFmtId="0" fontId="23" fillId="0" borderId="0" xfId="0" applyFont="1" applyAlignment="1">
      <alignment horizontal="center" vertical="center" wrapText="1"/>
    </xf>
    <xf numFmtId="0" fontId="14" fillId="0" borderId="0" xfId="0" applyFont="1" applyAlignment="1">
      <alignment horizontal="center" vertical="center" wrapText="1"/>
    </xf>
    <xf numFmtId="0" fontId="24" fillId="0" borderId="0" xfId="0" applyFont="1"/>
    <xf numFmtId="0" fontId="18" fillId="0" borderId="0" xfId="0" applyFont="1" applyAlignment="1">
      <alignment horizontal="left" wrapText="1"/>
    </xf>
    <xf numFmtId="0" fontId="9" fillId="0" borderId="0" xfId="0" applyFont="1" applyAlignment="1">
      <alignment horizontal="center" vertical="center" wrapText="1"/>
    </xf>
    <xf numFmtId="0" fontId="18" fillId="0" borderId="0" xfId="0" applyFont="1" applyAlignment="1">
      <alignment horizontal="center"/>
    </xf>
    <xf numFmtId="0" fontId="25" fillId="21" borderId="5" xfId="0" applyFont="1" applyFill="1" applyBorder="1" applyAlignment="1">
      <alignment horizontal="center" vertical="center" wrapText="1" readingOrder="1"/>
    </xf>
    <xf numFmtId="0" fontId="25" fillId="21" borderId="9" xfId="0" applyFont="1" applyFill="1" applyBorder="1" applyAlignment="1">
      <alignment horizontal="center" vertical="center" wrapText="1" readingOrder="1"/>
    </xf>
    <xf numFmtId="0" fontId="18" fillId="18" borderId="1" xfId="0" applyFont="1" applyFill="1" applyBorder="1" applyAlignment="1">
      <alignment horizontal="center" vertical="center" wrapText="1"/>
    </xf>
    <xf numFmtId="16" fontId="18" fillId="0" borderId="1" xfId="0" applyNumberFormat="1" applyFont="1" applyBorder="1" applyAlignment="1">
      <alignment horizontal="center"/>
    </xf>
    <xf numFmtId="0" fontId="18" fillId="0" borderId="1" xfId="0" applyFont="1" applyBorder="1"/>
    <xf numFmtId="0" fontId="26" fillId="18" borderId="1" xfId="0" applyFont="1" applyFill="1" applyBorder="1" applyAlignment="1">
      <alignment horizontal="center" vertical="center" wrapText="1" readingOrder="1"/>
    </xf>
    <xf numFmtId="0" fontId="26" fillId="18" borderId="1" xfId="0" applyFont="1" applyFill="1" applyBorder="1" applyAlignment="1">
      <alignment horizontal="center" vertical="center"/>
    </xf>
    <xf numFmtId="0" fontId="18" fillId="0" borderId="0" xfId="0" applyFont="1" applyAlignment="1">
      <alignment horizontal="center" vertical="center" wrapText="1"/>
    </xf>
    <xf numFmtId="0" fontId="18" fillId="0" borderId="0" xfId="0" applyFont="1" applyAlignment="1">
      <alignment vertical="center" wrapText="1"/>
    </xf>
    <xf numFmtId="0" fontId="18" fillId="0" borderId="6" xfId="0" applyFont="1" applyBorder="1" applyAlignment="1">
      <alignment horizontal="center"/>
    </xf>
    <xf numFmtId="16" fontId="18" fillId="0" borderId="0" xfId="0" applyNumberFormat="1" applyFont="1" applyAlignment="1">
      <alignment horizontal="center"/>
    </xf>
    <xf numFmtId="0" fontId="18" fillId="0" borderId="0" xfId="0" applyFont="1" applyAlignment="1">
      <alignment horizontal="center" wrapText="1"/>
    </xf>
    <xf numFmtId="0" fontId="27" fillId="0" borderId="0" xfId="0" applyFont="1" applyAlignment="1">
      <alignment horizontal="center" vertical="center" wrapText="1" readingOrder="1"/>
    </xf>
    <xf numFmtId="0" fontId="18" fillId="11" borderId="0" xfId="0" applyFont="1" applyFill="1" applyAlignment="1">
      <alignment horizontal="center"/>
    </xf>
    <xf numFmtId="0" fontId="18" fillId="11" borderId="6" xfId="0" applyFont="1" applyFill="1" applyBorder="1" applyAlignment="1">
      <alignment horizontal="center"/>
    </xf>
    <xf numFmtId="16" fontId="18" fillId="11" borderId="0" xfId="0" applyNumberFormat="1" applyFont="1" applyFill="1" applyAlignment="1">
      <alignment horizontal="center"/>
    </xf>
    <xf numFmtId="0" fontId="13" fillId="0" borderId="3" xfId="0" applyFont="1" applyBorder="1" applyAlignment="1">
      <alignment horizontal="center" vertical="center"/>
    </xf>
    <xf numFmtId="0" fontId="13" fillId="0" borderId="13" xfId="0" applyFont="1" applyBorder="1" applyAlignment="1">
      <alignment horizontal="center" vertical="center"/>
    </xf>
    <xf numFmtId="0" fontId="4" fillId="0" borderId="0" xfId="0" applyFont="1"/>
    <xf numFmtId="0" fontId="0" fillId="0" borderId="0" xfId="0"/>
    <xf numFmtId="164" fontId="20" fillId="0" borderId="0" xfId="0" applyNumberFormat="1" applyFont="1" applyAlignment="1">
      <alignment horizontal="center"/>
    </xf>
    <xf numFmtId="0" fontId="18" fillId="0" borderId="11" xfId="0" applyFont="1" applyBorder="1"/>
    <xf numFmtId="0" fontId="25" fillId="21" borderId="5" xfId="0" applyFont="1" applyFill="1" applyBorder="1" applyAlignment="1">
      <alignment horizontal="center" vertical="center" readingOrder="1"/>
    </xf>
    <xf numFmtId="0" fontId="25" fillId="21" borderId="9" xfId="0" applyFont="1" applyFill="1" applyBorder="1" applyAlignment="1">
      <alignment horizontal="center" vertical="center" readingOrder="1"/>
    </xf>
    <xf numFmtId="0" fontId="18" fillId="0" borderId="10" xfId="0" applyFont="1" applyBorder="1"/>
  </cellXfs>
  <cellStyles count="1">
    <cellStyle name="Normal" xfId="0" builtinId="0"/>
  </cellStyles>
  <dxfs count="26">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border>
        <left style="thin">
          <color theme="0" tint="-0.34998626667073579"/>
        </left>
        <right style="thin">
          <color theme="0" tint="-0.34998626667073579"/>
        </right>
        <top style="thin">
          <color theme="0" tint="-0.34998626667073579"/>
        </top>
        <vertical style="thin">
          <color theme="0" tint="-0.34998626667073579"/>
        </vertical>
        <horizontal style="thin">
          <color theme="0" tint="-0.34998626667073579"/>
        </horizontal>
      </border>
    </dxf>
    <dxf>
      <border>
        <left style="thin">
          <color theme="0" tint="-0.34998626667073579"/>
        </left>
        <right style="thin">
          <color theme="0" tint="-0.34998626667073579"/>
        </right>
        <top style="thin">
          <color theme="0" tint="-0.34998626667073579"/>
        </top>
        <vertical style="thin">
          <color theme="0" tint="-0.34998626667073579"/>
        </vertical>
        <horizontal style="thin">
          <color theme="0" tint="-0.34998626667073579"/>
        </horizontal>
      </border>
    </dxf>
    <dxf>
      <border>
        <left style="thin">
          <color theme="0" tint="-0.34998626667073579"/>
        </left>
        <right style="thin">
          <color theme="0" tint="-0.34998626667073579"/>
        </right>
        <top style="thin">
          <color theme="0" tint="-0.34998626667073579"/>
        </top>
        <vertical style="thin">
          <color theme="0" tint="-0.34998626667073579"/>
        </vertical>
        <horizontal style="thin">
          <color theme="0" tint="-0.34998626667073579"/>
        </horizontal>
      </border>
    </dxf>
    <dxf>
      <font>
        <color theme="0" tint="-0.34998626667073579"/>
      </font>
    </dxf>
    <dxf>
      <font>
        <color theme="0" tint="-0.34998626667073579"/>
      </font>
    </dxf>
    <dxf>
      <font>
        <color theme="0" tint="-0.34998626667073579"/>
      </font>
    </dxf>
    <dxf>
      <alignment horizontal="center"/>
    </dxf>
    <dxf>
      <alignment horizontal="center"/>
    </dxf>
    <dxf>
      <alignment horizontal="center"/>
    </dxf>
    <dxf>
      <alignment vertical="center"/>
    </dxf>
    <dxf>
      <alignment vertical="center"/>
    </dxf>
    <dxf>
      <alignment vertical="center"/>
    </dxf>
    <dxf>
      <font>
        <color theme="1" tint="0.14999847407452621"/>
      </font>
    </dxf>
    <dxf>
      <font>
        <b/>
      </font>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isés Arancibia S." refreshedDate="46280.95924895833" createdVersion="8" refreshedVersion="8" minRefreshableVersion="3" recordCount="913" xr:uid="{1B1B3E8B-FD44-4AB9-84BA-63A2885F453E}">
  <cacheSource type="worksheet">
    <worksheetSource ref="A1:M1048576" sheet="CONSOLIDADO UAT"/>
  </cacheSource>
  <cacheFields count="13">
    <cacheField name="Módulo" numFmtId="0">
      <sharedItems containsBlank="1" count="12">
        <s v="Validación"/>
        <s v="Seguimiento y Control"/>
        <s v="Gobierno"/>
        <s v="Control ERM"/>
        <s v="Documentación"/>
        <s v="Incidencias"/>
        <s v="Información Inventario"/>
        <s v="Filiales"/>
        <s v="Auditoría"/>
        <s v="Mejoras Transversales"/>
        <s v="Registro Información"/>
        <m/>
      </sharedItems>
    </cacheField>
    <cacheField name="Hoja Origen" numFmtId="0">
      <sharedItems containsBlank="1"/>
    </cacheField>
    <cacheField name="Código HU" numFmtId="0">
      <sharedItems containsBlank="1"/>
    </cacheField>
    <cacheField name="Prioridad" numFmtId="0">
      <sharedItems containsBlank="1"/>
    </cacheField>
    <cacheField name="Historia de Usuario" numFmtId="0">
      <sharedItems containsBlank="1" longText="1"/>
    </cacheField>
    <cacheField name="Vista" numFmtId="0">
      <sharedItems containsBlank="1"/>
    </cacheField>
    <cacheField name="Actores" numFmtId="0">
      <sharedItems containsBlank="1"/>
    </cacheField>
    <cacheField name="Código Caso Prueba" numFmtId="0">
      <sharedItems containsBlank="1"/>
    </cacheField>
    <cacheField name="Caso de Prueba (Texto)" numFmtId="0">
      <sharedItems containsBlank="1" longText="1"/>
    </cacheField>
    <cacheField name="Caso Nuevo?" numFmtId="0">
      <sharedItems containsBlank="1"/>
    </cacheField>
    <cacheField name="Fecha Prueba" numFmtId="0">
      <sharedItems containsBlank="1"/>
    </cacheField>
    <cacheField name="Resultado" numFmtId="0">
      <sharedItems containsBlank="1" count="10">
        <s v="OK"/>
        <s v="N/A"/>
        <s v="OK CON OBS."/>
        <s v="POSTERGADA A GARANTÍA"/>
        <s v="NOK"/>
        <m/>
        <s v="NOOK" u="1"/>
        <s v="POSTERGADAS A GARANTIA" u="1"/>
        <s v="POSTERGADO" u="1"/>
        <s v="BLOQUEADO PARA EJECUTAR" u="1"/>
      </sharedItems>
    </cacheField>
    <cacheField name="Categoría"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3">
  <r>
    <x v="0"/>
    <s v="VALIDACION"/>
    <s v="V_1"/>
    <s v="ALTA"/>
    <s v="Cambio de Nombre del Modulo:"/>
    <s v="Homepage"/>
    <s v="Todos los Usuarios del Sistema"/>
    <s v="V_1_1"/>
    <s v="El módulo anteriormente llamado &quot;Registro Observación&quot; ahora aparece como &quot;Validación&quot;"/>
    <s v="No"/>
    <s v="2026-04-29"/>
    <x v="0"/>
    <s v="OK"/>
  </r>
  <r>
    <x v="0"/>
    <s v="VALIDACION"/>
    <s v="V_1"/>
    <s v="ALTA"/>
    <s v="Cambio de Nombre del Modulo:"/>
    <s v="Homepage"/>
    <s v="Todos los Usuarios del Sistema"/>
    <s v="V_1_2"/>
    <s v="Las funcionalidades actuales no se ven afectadas por el cambio de nombre en caso de tener dependencias"/>
    <s v="No"/>
    <s v="2026-05-20"/>
    <x v="0"/>
    <s v="OK"/>
  </r>
  <r>
    <x v="0"/>
    <s v="VALIDACION"/>
    <s v="V_1"/>
    <s v="ALTA"/>
    <s v="Cambio de Nombre del Modulo:"/>
    <s v="Homepage"/>
    <s v="Todos los Usuarios del Sistema"/>
    <s v="V_1_3"/>
    <s v="Realizar prueba conjunta Desarrollo y Negocio para confirmar control de exceciones por borrado de tabla u otra anomalía técnica que se presente"/>
    <s v="No"/>
    <s v="2026-08-06"/>
    <x v="0"/>
    <s v="OK"/>
  </r>
  <r>
    <x v="0"/>
    <s v="VALIDACION"/>
    <s v="V_2"/>
    <s v="ALTA"/>
    <s v="Estructura de Pestañas del Modulo"/>
    <s v="Validación"/>
    <s v="Todos los Usuarios del Sistema"/>
    <s v="V_2_1"/>
    <s v="Al ingresar al módulo de validación se visualizan 3 pestañas: “Informes de Validación”, “Gestión de Evidencias”, &quot;Formularios de Excepción&quot;."/>
    <s v="No"/>
    <s v="2026-04-29"/>
    <x v="0"/>
    <s v="OK"/>
  </r>
  <r>
    <x v="0"/>
    <s v="VALIDACION"/>
    <s v="V_2"/>
    <s v="ALTA"/>
    <s v="Estructura de Pestañas del Modulo"/>
    <s v="Validación"/>
    <s v="Todos los Usuarios del Sistema"/>
    <s v="V_2_2"/>
    <s v="La pestaña de &quot;Informes de Validación&quot; presenta las opciones de creación de informes"/>
    <s v="No"/>
    <s v="2026-04-29"/>
    <x v="0"/>
    <s v="OK"/>
  </r>
  <r>
    <x v="0"/>
    <s v="VALIDACION"/>
    <s v="V_2"/>
    <s v="ALTA"/>
    <s v="Estructura de Pestañas del Modulo"/>
    <s v="Validación"/>
    <s v="Todos los Usuarios del Sistema"/>
    <s v="V_2_3"/>
    <s v="La pestaña &quot;Gestión de Evidencias&quot; presenta las opciones para agregar evidencias"/>
    <s v="No"/>
    <s v="2026-04-29"/>
    <x v="0"/>
    <s v="OK"/>
  </r>
  <r>
    <x v="0"/>
    <s v="VALIDACION"/>
    <s v="V_2"/>
    <s v="ALTA"/>
    <s v="Estructura de Pestañas del Modulo"/>
    <s v="Validación"/>
    <s v="Todos los Usuarios del Sistema"/>
    <s v="V_2_4"/>
    <s v="La pestaña &quot;Formularios de Excepción (FEV)&quot; presenta las opciones para generar excepciones de validación"/>
    <s v="No"/>
    <s v="2026-04-29"/>
    <x v="0"/>
    <s v="OK"/>
  </r>
  <r>
    <x v="0"/>
    <s v="VALIDACION"/>
    <s v="V_2"/>
    <s v="ALTA"/>
    <s v="Estructura de Pestañas del Modulo"/>
    <s v="Validación"/>
    <s v="Todos los Usuarios del Sistema"/>
    <s v="V_2_5"/>
    <s v="Si al ingresar a una de las 3 pestañas, el formulario no carga, el sistema muestra un mensaje de error que la pestaña no está disponible"/>
    <s v="No"/>
    <s v="2026-05-07"/>
    <x v="1"/>
    <s v="N/A"/>
  </r>
  <r>
    <x v="0"/>
    <s v="VALIDACION"/>
    <s v="V_2"/>
    <s v="ALTA"/>
    <s v="Estructura de Pestañas del Modulo"/>
    <s v="Validación"/>
    <s v="Todos los Usuarios del Sistema"/>
    <s v="V_2_6"/>
    <s v="Si el usuario está trabajando en una pestaña y cambia a otra, el sistema pregunta si desea guardar los cambios antes"/>
    <s v="No"/>
    <s v="2026-05-07"/>
    <x v="1"/>
    <s v="N/A"/>
  </r>
  <r>
    <x v="0"/>
    <s v="VALIDACION"/>
    <s v="V_3"/>
    <s v="BAJA"/>
    <s v="Notificación por Días en Validación"/>
    <s v="Validación / Observaciones"/>
    <s v="Sistema (Automático)"/>
    <s v="V_3_1"/>
    <s v="El sistema diariamente detecta si hay observaciones que hayan superado los 59 y 89 días, y envía un mail con el listado de observaciones a validadores y supervisores correspondientes"/>
    <s v="No"/>
    <s v="2026-05-12"/>
    <x v="0"/>
    <s v="OK"/>
  </r>
  <r>
    <x v="0"/>
    <s v="VALIDACION"/>
    <s v="V_3"/>
    <s v="BAJA"/>
    <s v="Notificación por Días en Validación"/>
    <s v="Validación / Observaciones"/>
    <s v="Sistema (Automático)"/>
    <s v="V_3_2"/>
    <s v="El contenido del mail incluye:"/>
    <s v="No"/>
    <s v="2026-05-12"/>
    <x v="0"/>
    <s v="OK"/>
  </r>
  <r>
    <x v="0"/>
    <s v="VALIDACION"/>
    <s v="V_3"/>
    <s v="BAJA"/>
    <s v="Notificación por Días en Validación"/>
    <s v="Validación / Observaciones"/>
    <s v="Sistema (Automático)"/>
    <s v="V_3_3"/>
    <s v="Si el sistema no detecta observaciones que hayan superado los 59 y 89 días, no se envían mail"/>
    <s v="No"/>
    <s v="2026-05-12"/>
    <x v="0"/>
    <s v="OK"/>
  </r>
  <r>
    <x v="0"/>
    <s v="VALIDACION"/>
    <s v="V_3"/>
    <s v="BAJA"/>
    <s v="Notificación por Días en Validación"/>
    <s v="Validación / Observaciones"/>
    <s v="Sistema (Automático)"/>
    <s v="V_3_4"/>
    <s v="El sistema registra el envío exitoso de las notificaciones."/>
    <s v="No"/>
    <s v="2026-05-12"/>
    <x v="0"/>
    <s v="OK"/>
  </r>
  <r>
    <x v="0"/>
    <s v="VALIDACION"/>
    <s v="V_3"/>
    <s v="BAJA"/>
    <s v="Notificación por Días en Validación"/>
    <s v="Validación / Observaciones"/>
    <s v="Sistema (Automático)"/>
    <s v="V_3_5"/>
    <s v="Si el servicio de correo no está disponible, el sistema registra el error en los logs del sistema y reintenta el envío. En caso que este último falle, se notifica al administrador del sistema"/>
    <s v="No"/>
    <s v="2026-05-12"/>
    <x v="0"/>
    <s v="OK"/>
  </r>
  <r>
    <x v="0"/>
    <s v="VALIDACION"/>
    <s v="V_4"/>
    <s v="MEDIA"/>
    <s v="Agregar Columna Modelo"/>
    <s v="Validación / Informes"/>
    <s v="Sistema (Automático)"/>
    <s v="V_4_1"/>
    <s v="Dentro de la pestaña &quot;Informes Validación&quot;, se muestra la columna Modelo, compuesta por el ID Modelo, ID Version y Nombre del modelo que están asignados en el informe de validación"/>
    <s v="No"/>
    <s v="2026-05-07"/>
    <x v="0"/>
    <s v="OK"/>
  </r>
  <r>
    <x v="0"/>
    <s v="VALIDACION"/>
    <s v="V_4"/>
    <s v="MEDIA"/>
    <s v="Agregar Columna Modelo"/>
    <s v="Validación / Informes"/>
    <s v="Sistema (Automático)"/>
    <s v="V_4_2"/>
    <s v="El usuario puede ordenar y filtrar por la columna Modelo si lo requiere"/>
    <s v="No"/>
    <s v="2026-05-07"/>
    <x v="0"/>
    <s v="OK"/>
  </r>
  <r>
    <x v="0"/>
    <s v="VALIDACION"/>
    <s v="V_4"/>
    <s v="MEDIA"/>
    <s v="Agregar Columna Modelo"/>
    <s v="Validación / Informes"/>
    <s v="Sistema (Automático)"/>
    <s v="V_4_3"/>
    <s v="Si existe un informe de validación sin un modelo asignado, se debe mostrar el campo &quot;Sin asignar&quot;"/>
    <s v="No"/>
    <s v="2026-05-18"/>
    <x v="0"/>
    <s v="OK"/>
  </r>
  <r>
    <x v="0"/>
    <s v="VALIDACION"/>
    <s v="V_4"/>
    <s v="MEDIA"/>
    <s v="Agregar Columna Modelo"/>
    <s v="Validación / Informes"/>
    <s v="Sistema (Automático)"/>
    <s v="V_4_4"/>
    <s v="Si ocurre un error en la carga del nombre del modelo, se muestra mensaje de error y reporta al administrador del sistema"/>
    <s v="No"/>
    <s v="2026-05-07"/>
    <x v="1"/>
    <s v="N/A"/>
  </r>
  <r>
    <x v="0"/>
    <s v="VALIDACION"/>
    <s v="V_5"/>
    <s v="ALTA"/>
    <s v="Agregar Columna Tipo de Enfoque"/>
    <s v="Validación / Informes"/>
    <s v="Sistema (Automático)"/>
    <s v="V_5_1"/>
    <s v="Dentro de la pestaña &quot;Informes Validación&quot;, se muestra la columna “Tipo de Enfoque” con las siguientes opciones: Exhaustivo, Estándar, Ágil o Competitivo"/>
    <s v="No"/>
    <s v="2026-05-06"/>
    <x v="0"/>
    <s v="OK"/>
  </r>
  <r>
    <x v="0"/>
    <s v="VALIDACION"/>
    <s v="V_5"/>
    <s v="ALTA"/>
    <s v="Agregar Columna Tipo de Enfoque"/>
    <s v="Validación / Informes"/>
    <s v="Sistema (Automático)"/>
    <s v="V_5_2"/>
    <s v="El usuario puede ordenar y filtrar por la columna &quot;Tipo Enfoque&quot; si lo requiere"/>
    <s v="No"/>
    <s v="2026-05-06"/>
    <x v="0"/>
    <s v="OK"/>
  </r>
  <r>
    <x v="0"/>
    <s v="VALIDACION"/>
    <s v="V_5"/>
    <s v="ALTA"/>
    <s v="Agregar Columna Tipo de Enfoque"/>
    <s v="Validación / Informes"/>
    <s v="Sistema (Automático)"/>
    <s v="V_5_3"/>
    <s v="Si existe un informe de validación sin un &quot;Tipo Enfoque&quot; definido, se debe mostrar el campo &quot;Por definir&quot;"/>
    <s v="No"/>
    <s v="2026-05-18"/>
    <x v="0"/>
    <s v="OK"/>
  </r>
  <r>
    <x v="0"/>
    <s v="VALIDACION"/>
    <s v="V_5"/>
    <s v="ALTA"/>
    <s v="Agregar Columna Tipo de Enfoque"/>
    <s v="Validación / Informes"/>
    <s v="Sistema (Automático)"/>
    <s v="V_5_4"/>
    <s v="Si ocurre un error en la carga del &quot;Tipo Enfoque&quot;, se muestra mensaje de error y reportarlo al administrador del sistema"/>
    <s v="No"/>
    <s v="2026-05-06"/>
    <x v="1"/>
    <s v="N/A"/>
  </r>
  <r>
    <x v="0"/>
    <s v="VALIDACION"/>
    <s v="V_6"/>
    <s v="ALTA"/>
    <s v="Crear Campo Tipo de Enfoque con Lista"/>
    <s v="Validación / Informes"/>
    <s v="N/A"/>
    <s v="V_6_1"/>
    <s v="Dentro de la pestaña &quot;Informes Validación&quot;, la columna &quot;Tipo Enfoque&quot; carga las sugerencias en base al cálculo que se configura en el mantenedor"/>
    <s v="No"/>
    <s v="2026-05-06"/>
    <x v="0"/>
    <s v="OK"/>
  </r>
  <r>
    <x v="0"/>
    <s v="VALIDACION"/>
    <s v="V_6"/>
    <s v="ALTA"/>
    <s v="Crear Campo Tipo de Enfoque con Lista"/>
    <s v="Validación / Informes"/>
    <s v="N/A"/>
    <s v="V_6_2"/>
    <s v="El usuario puede modificar el &quot;Tipo Enfoque&quot; según las opciones sugeridas"/>
    <s v="No"/>
    <s v="2026-05-06"/>
    <x v="0"/>
    <s v="OK"/>
  </r>
  <r>
    <x v="0"/>
    <s v="VALIDACION"/>
    <s v="V_6"/>
    <s v="ALTA"/>
    <s v="Crear Campo Tipo de Enfoque con Lista"/>
    <s v="Validación / Informes"/>
    <s v="N/A"/>
    <s v="V_6_3"/>
    <s v="Si el &quot;Tipo Enfoque&quot; no arroja sugerencias, debe precargar todas las opciones del mantenedor"/>
    <s v="No"/>
    <s v="2026-05-06"/>
    <x v="0"/>
    <s v="OK"/>
  </r>
  <r>
    <x v="0"/>
    <s v="VALIDACION"/>
    <s v="V_7"/>
    <s v="ALTA"/>
    <s v="Crear Mantenedor Arbol de Decision Tipo de Enfoque"/>
    <s v="Validación / Informes / Mantenedor"/>
    <s v="GRM_ADMINISTRADOR"/>
    <s v="V_7_1"/>
    <s v="El mantenedor &quot;Árbol de Decisión Tipo de Enfoque&quot; se encuentra disponible para el administrador y permite agregar y modificar sus registros por medio de consultas SQL"/>
    <s v="No"/>
    <s v="2026-07-10"/>
    <x v="0"/>
    <s v="OK"/>
  </r>
  <r>
    <x v="0"/>
    <s v="VALIDACION"/>
    <s v="V_7"/>
    <s v="ALTA"/>
    <s v="Crear Mantenedor Arbol de Decision Tipo de Enfoque"/>
    <s v="Validación / Informes / Mantenedor"/>
    <s v="GRM_ADMINISTRADOR"/>
    <s v="V_7_2"/>
    <s v="Si el administrador realiza cambios en la estructura jerárquica, el sistema solicita confirmación para guardar los cambios"/>
    <s v="No"/>
    <s v="2026-07-24"/>
    <x v="1"/>
    <s v="N/A"/>
  </r>
  <r>
    <x v="0"/>
    <s v="VALIDACION"/>
    <s v="V_7"/>
    <s v="ALTA"/>
    <s v="Crear Mantenedor Arbol de Decision Tipo de Enfoque"/>
    <s v="Validación / Informes / Mantenedor"/>
    <s v="GRM_ADMINISTRADOR"/>
    <s v="V_7_3"/>
    <s v="Si el administrador intenta guardar una estructura jerárquica inválida, el sistema muestra un mensaje de error indicando el problema encontrado."/>
    <s v="No"/>
    <s v="2026-05-18"/>
    <x v="0"/>
    <s v="OK"/>
  </r>
  <r>
    <x v="0"/>
    <s v="VALIDACION"/>
    <s v="V_8"/>
    <s v="ALTA"/>
    <s v="Crear Mantenedor para la Lista Tipo de Enfoque"/>
    <s v="Validación / Informes / Mantenedor"/>
    <s v="GRM_ADMINISTRADOR"/>
    <s v="V_8_1"/>
    <s v="Al seleccionar el mantenedor &quot;Lista Tipo de Enfoque&quot;, el sistema muestra la lista de opciones disponibles"/>
    <s v="No"/>
    <s v="2026-05-06"/>
    <x v="0"/>
    <s v="OK"/>
  </r>
  <r>
    <x v="0"/>
    <s v="VALIDACION"/>
    <s v="V_8"/>
    <s v="ALTA"/>
    <s v="Crear Mantenedor para la Lista Tipo de Enfoque"/>
    <s v="Validación / Informes / Mantenedor"/>
    <s v="GRM_ADMINISTRADOR"/>
    <s v="V_8_2"/>
    <s v="El Administrador puede agregar, modificar o eliminar opciones de la lista"/>
    <s v="No"/>
    <s v="2026-05-06"/>
    <x v="0"/>
    <s v="OK"/>
  </r>
  <r>
    <x v="0"/>
    <s v="VALIDACION"/>
    <s v="V_8"/>
    <s v="ALTA"/>
    <s v="Crear Mantenedor para la Lista Tipo de Enfoque"/>
    <s v="Validación / Informes / Mantenedor"/>
    <s v="GRM_ADMINISTRADOR"/>
    <s v="V_8_3"/>
    <s v="Si el Administrador intenta agregar un valor que ya existe en la lista, el sistema muestra en mensaje de error indicando que el valor ya existe."/>
    <s v="No"/>
    <s v="2026-05-06"/>
    <x v="0"/>
    <s v="OK"/>
  </r>
  <r>
    <x v="0"/>
    <s v="VALIDACION"/>
    <s v="V_9"/>
    <s v="ALTA"/>
    <s v="Agregar Campo Origen"/>
    <s v="Validación / Informes"/>
    <s v="GRM_VALIDADOR_EJECUTOR, GRM_VALIDADOR_APROBADOR, GRM_REVISOR y GRM_ADMINISTRADOR"/>
    <s v="V_9_1"/>
    <s v="Dentro de la pestaña &quot;Informes Validación&quot;, se visualiza el nuevo campo &quot;Origen&quot; con las opciones Desarrollo, Implementación y En Uso"/>
    <s v="No"/>
    <s v="2026-05-12"/>
    <x v="0"/>
    <s v="OK"/>
  </r>
  <r>
    <x v="0"/>
    <s v="VALIDACION"/>
    <s v="V_9"/>
    <s v="ALTA"/>
    <s v="Agregar Campo Origen"/>
    <s v="Validación / Informes"/>
    <s v="GRM_VALIDADOR_EJECUTOR, GRM_VALIDADOR_APROBADOR, GRM_REVISOR y GRM_ADMINISTRADOR"/>
    <s v="V_9_2"/>
    <s v="El campo es obligatorio y se levanta una alerta si el usuario no selecciona una opción: &quot;Seleccione el origen del informe&quot;"/>
    <s v="No"/>
    <s v="2026-05-18"/>
    <x v="0"/>
    <s v="OK"/>
  </r>
  <r>
    <x v="0"/>
    <s v="VALIDACION"/>
    <s v="V_10"/>
    <s v="ALTA"/>
    <s v="Expandir Opciones de Objetivo"/>
    <s v="Validación / Informes"/>
    <s v="GRM_VALIDADOR_EJECUTOR, GRM_VALIDADOR_APROBADOR, GRM_REVISOR y GRM_ADMINISTRADOR"/>
    <s v="V_10_1"/>
    <s v="Dentro de la pestaña &quot;Informes Validación&quot;, se visualiza el campo &quot;Objetivo de la Validación&quot;, con las opciones originales: “Nuevo modelo” y “Modificación modelo existente”, y se le agregan tres opciones más: “Seguimiento”, “Integración en la Gestión” y “Continua”."/>
    <s v="No"/>
    <s v="2026-05-28"/>
    <x v="0"/>
    <s v="OK"/>
  </r>
  <r>
    <x v="0"/>
    <s v="VALIDACION"/>
    <s v="V_10"/>
    <s v="ALTA"/>
    <s v="Expandir Opciones de Objetivo"/>
    <s v="Validación / Informes"/>
    <s v="GRM_VALIDADOR_EJECUTOR, GRM_VALIDADOR_APROBADOR, GRM_REVISOR y GRM_ADMINISTRADOR"/>
    <s v="V_10_2"/>
    <s v="El campo es obligatorio y se levanta una alerta si el usuario no selecciona una opción: &quot;Debe seleccionar un objetivo&quot;"/>
    <s v="No"/>
    <s v="2026-05-08"/>
    <x v="0"/>
    <s v="OK"/>
  </r>
  <r>
    <x v="0"/>
    <s v="VALIDACION"/>
    <s v="V_11"/>
    <s v="ALTA"/>
    <s v="Validacion de Combinaciones Origen-Objetivo"/>
    <s v="N/A"/>
    <s v="N/A"/>
    <s v="V_11_1"/>
    <s v="Caso de prueba desestimado"/>
    <s v="No"/>
    <m/>
    <x v="1"/>
    <s v="N/A"/>
  </r>
  <r>
    <x v="0"/>
    <s v="VALIDACION"/>
    <s v="V_12"/>
    <s v="ALTA"/>
    <s v="Regla de Validacion Origen-Objetivo"/>
    <s v="N/A"/>
    <s v="N/A"/>
    <s v="V_12_1"/>
    <s v="Caso de prueba desestimado"/>
    <s v="No"/>
    <m/>
    <x v="1"/>
    <s v="N/A"/>
  </r>
  <r>
    <x v="0"/>
    <s v="VALIDACION"/>
    <s v="V_13"/>
    <s v="ALTA"/>
    <s v="Asignación de Multiples Modelos"/>
    <s v="Validación / Informes"/>
    <s v="GRM_VALIDADOR_EJECUTOR, GRM_VALIDADOR_APROBADOR, GRM_REVISOR y GRM_ADMINISTRADOR"/>
    <s v="V_13_1"/>
    <s v="Al acceder a editar un informe, el sistema da la opción de asignar múltiples modelos &quot;Activos&quot; (no caducados), independiente de su estado de observaciones"/>
    <s v="No"/>
    <s v="2026-05-11"/>
    <x v="0"/>
    <s v="OK"/>
  </r>
  <r>
    <x v="0"/>
    <s v="VALIDACION"/>
    <s v="V_13"/>
    <s v="ALTA"/>
    <s v="Asignación de Multiples Modelos"/>
    <s v="Validación / Informes"/>
    <s v="GRM_VALIDADOR_EJECUTOR, GRM_VALIDADOR_APROBADOR, GRM_REVISOR y GRM_ADMINISTRADOR"/>
    <s v="V_13_2"/>
    <s v="Todos los modelos seleccionados se listan en un solo campo, separados por coma"/>
    <s v="No"/>
    <s v="2026-05-11"/>
    <x v="0"/>
    <s v="OK"/>
  </r>
  <r>
    <x v="0"/>
    <s v="VALIDACION"/>
    <s v="V_13"/>
    <s v="ALTA"/>
    <s v="Asignación de Multiples Modelos"/>
    <s v="Validación / Informes"/>
    <s v="GRM_VALIDADOR_EJECUTOR, GRM_VALIDADOR_APROBADOR, GRM_REVISOR y GRM_ADMINISTRADOR"/>
    <s v="V_13_3"/>
    <s v="Al asignar un modelo de forma correcta, el sistema muestra una alerta &quot;Modelo asignado correctamente&quot;"/>
    <s v="No"/>
    <s v="2026-08-11"/>
    <x v="0"/>
    <s v="OK"/>
  </r>
  <r>
    <x v="0"/>
    <s v="VALIDACION"/>
    <s v="V_13"/>
    <s v="ALTA"/>
    <s v="Asignación de Multiples Modelos"/>
    <s v="Validación / Informes"/>
    <s v="GRM_VALIDADOR_EJECUTOR, GRM_VALIDADOR_APROBADOR, GRM_REVISOR y GRM_ADMINISTRADOR"/>
    <s v="V_13_4"/>
    <s v="Si se agrega un modelo que ya está asigando al informe, el sistema muestra una alerta &quot;Modelo ya asignado al informe&quot;"/>
    <s v="No"/>
    <s v="2026-05-11"/>
    <x v="0"/>
    <s v="OK"/>
  </r>
  <r>
    <x v="0"/>
    <s v="VALIDACION"/>
    <s v="V_13"/>
    <s v="ALTA"/>
    <s v="Asignación de Multiples Modelos"/>
    <s v="Validación / Informes"/>
    <s v="GRM_VALIDADOR_EJECUTOR, GRM_VALIDADOR_APROBADOR, GRM_REVISOR y GRM_ADMINISTRADOR"/>
    <s v="V_13_5"/>
    <s v="El campo es obligatorio y se levanta una alerta si el usuario no agrega un modelo"/>
    <s v="No"/>
    <s v="2026-05-11"/>
    <x v="0"/>
    <s v="OK"/>
  </r>
  <r>
    <x v="0"/>
    <s v="VALIDACION"/>
    <s v="V_14"/>
    <s v="MEDIA"/>
    <s v="Indicador de Sugerencia de Tipo de Enfoque"/>
    <s v="Validación / Informes"/>
    <s v="GRM_VALIDADOR_EJECUTOR y GRM_VALIDADOR_APROBADOR"/>
    <s v="V_14_1"/>
    <s v="Dentro de la pestaña &quot;Informes Validación&quot;, si el campo &quot;Tipo de Enfoque&quot; tiene un valor precargado, se visualiza un ícono informativo que permite ver el motivo del valor por medio de un tooltip o popup"/>
    <s v="No"/>
    <s v="2026-05-11"/>
    <x v="0"/>
    <s v="OK"/>
  </r>
  <r>
    <x v="0"/>
    <s v="VALIDACION"/>
    <s v="V_14"/>
    <s v="MEDIA"/>
    <s v="Indicador de Sugerencia de Tipo de Enfoque"/>
    <s v="Validación / Informes"/>
    <s v="GRM_VALIDADOR_EJECUTOR y GRM_VALIDADOR_APROBADOR"/>
    <s v="V_14_2"/>
    <s v="Si no exite valor precargado, el icono informativo indica que no hay información disponible"/>
    <s v="No"/>
    <s v="2026-05-11"/>
    <x v="1"/>
    <s v="N/A"/>
  </r>
  <r>
    <x v="0"/>
    <s v="VALIDACION"/>
    <s v="V_15"/>
    <s v="ALTA"/>
    <s v="Campo Nota Inicial"/>
    <s v="Validación / Informes"/>
    <s v="GRM_ADMINISTRADOR"/>
    <s v="V_15_1"/>
    <s v="Dentro de la pestaña &quot;Informes Validación&quot;, se visualiza el campo &quot;Nota Inicial&quot;  (anteriormente llamado Nota Informe), que se calcula automáticamente por medio de la suma de las notas iniciales registradas en las observaciones/ámbitos asociados, con rango y formato 1 a 5"/>
    <s v="No"/>
    <s v="2026-05-11"/>
    <x v="0"/>
    <s v="OK"/>
  </r>
  <r>
    <x v="0"/>
    <s v="VALIDACION"/>
    <s v="V_15"/>
    <s v="ALTA"/>
    <s v="Campo Nota Inicial"/>
    <s v="Validación / Informes"/>
    <s v="GRM_ADMINISTRADOR"/>
    <s v="V_15_2"/>
    <s v="El usuario puede acceder al detalle del informe y visualizar la composición del cálculo. Las observaciones sin nota inicial definida se interpretan como 1 o excluidas del cálculo"/>
    <s v="No"/>
    <s v="2026-05-11"/>
    <x v="1"/>
    <s v="N/A"/>
  </r>
  <r>
    <x v="0"/>
    <s v="VALIDACION"/>
    <s v="V_15"/>
    <s v="ALTA"/>
    <s v="Campo Nota Inicial"/>
    <s v="Validación / Informes"/>
    <s v="GRM_ADMINISTRADOR"/>
    <s v="V_15_3"/>
    <s v="Al modificar la formula en mantenedor (HU V_17), el sistema recalcula la &quot;Nota Inicial&quot; de los informes, mostrando el valor actualizado en la vista de Informes"/>
    <s v="No"/>
    <s v="2026-05-20"/>
    <x v="0"/>
    <s v="OK"/>
  </r>
  <r>
    <x v="0"/>
    <s v="VALIDACION"/>
    <s v="V_15"/>
    <s v="ALTA"/>
    <s v="Campo Nota Inicial"/>
    <s v="Validación / Informes"/>
    <s v="GRM_ADMINISTRADOR"/>
    <s v="V_15_4"/>
    <s v="Si no existe formula de calculo definida en el mantenedor al querer ver el cálculo de Nota Inicial, el sistema muestra un indicador de configuración pendiente."/>
    <s v="No"/>
    <s v="2026-05-20"/>
    <x v="1"/>
    <s v="N/A"/>
  </r>
  <r>
    <x v="0"/>
    <s v="VALIDACION"/>
    <s v="V_16"/>
    <s v="ALTA"/>
    <s v="Campo Nota Final"/>
    <s v="Validación / Informes"/>
    <s v="GRM_ADMINISTRADOR"/>
    <s v="V_16_1"/>
    <s v="Dentro de la pestaña &quot;Informes Validación&quot;, se visualiza el campo &quot;Nota Final&quot;  (anteriormente llamado Nota Informe), que se calcula automáticamente por medio de la suma de las notas finales registradas en las observaciones/ámbitos asociados, con rango y formato 1 a 5"/>
    <s v="No"/>
    <s v="2026-05-11"/>
    <x v="0"/>
    <s v="OK"/>
  </r>
  <r>
    <x v="0"/>
    <s v="VALIDACION"/>
    <s v="V_16"/>
    <s v="ALTA"/>
    <s v="Campo Nota Final"/>
    <s v="Validación / Informes"/>
    <s v="GRM_ADMINISTRADOR"/>
    <s v="V_16_2"/>
    <s v="El usuario puede acceder al detalle del informe y visualizar la composición del cálculo. Las observaciones sin nota inicial definida se interpretan como 1 o excluidas del cálculo"/>
    <s v="No"/>
    <s v="2026-05-11"/>
    <x v="0"/>
    <s v="OK"/>
  </r>
  <r>
    <x v="0"/>
    <s v="VALIDACION"/>
    <s v="V_16"/>
    <s v="ALTA"/>
    <s v="Campo Nota Final"/>
    <s v="Validación / Informes"/>
    <s v="GRM_ADMINISTRADOR"/>
    <s v="V_16_3"/>
    <s v="Al modificar la formula en mantenedor (HU V_17), el sistema recalcula la &quot;Nota Final&quot; de los informes, mostrando el valor actualizado en la vista de Informes"/>
    <s v="No"/>
    <s v="2026-05-28"/>
    <x v="0"/>
    <s v="OK"/>
  </r>
  <r>
    <x v="0"/>
    <s v="VALIDACION"/>
    <s v="V_16"/>
    <s v="ALTA"/>
    <s v="Campo Nota Final"/>
    <s v="Validación / Informes"/>
    <s v="GRM_ADMINISTRADOR"/>
    <s v="V_16_4"/>
    <s v="Si no existe formula de calculo definida en el mantenedor al querer ver el cálculo de nota final, el sistema muestra un indicador de configuración pendiente."/>
    <s v="No"/>
    <s v="2026-05-20"/>
    <x v="1"/>
    <s v="N/A"/>
  </r>
  <r>
    <x v="0"/>
    <s v="VALIDACION"/>
    <s v="V_17"/>
    <s v="ALTA"/>
    <s v="Mantenedor de Formula de Nota Final"/>
    <s v="Validación / Informes"/>
    <s v="GRM_ADMINISTRADOR"/>
    <s v="V_17_1"/>
    <s v="Al seleccionar el mantenedor &quot;Fórmula de Nota Inicial y Final&quot;, el sistema muestra la configuración de la fórmula de cálculo"/>
    <s v="No"/>
    <s v="2026-05-12"/>
    <x v="0"/>
    <s v="OK"/>
  </r>
  <r>
    <x v="0"/>
    <s v="VALIDACION"/>
    <s v="V_17"/>
    <s v="ALTA"/>
    <s v="Mantenedor de Formula de Nota Final"/>
    <s v="Validación / Informes"/>
    <s v="GRM_ADMINISTRADOR"/>
    <s v="V_17_2"/>
    <s v="El Administrador puede agregar, modificar o eliminar la fórmula de cálculo"/>
    <s v="No"/>
    <s v="2026-05-12"/>
    <x v="0"/>
    <s v="OK"/>
  </r>
  <r>
    <x v="0"/>
    <s v="VALIDACION"/>
    <s v="V_17"/>
    <s v="ALTA"/>
    <s v="Mantenedor de Formula de Nota Final"/>
    <s v="Validación / Informes"/>
    <s v="GRM_ADMINISTRADOR"/>
    <s v="V_17_3"/>
    <s v="Si la fórmula que se intenta guardar tiene una sintáxis inválida, el sistema muestra un mensaje de error indicando el problema de sintaxis."/>
    <s v="No"/>
    <s v="2026-05-12"/>
    <x v="0"/>
    <s v="OK"/>
  </r>
  <r>
    <x v="0"/>
    <s v="VALIDACION"/>
    <s v="V_18"/>
    <s v="MEDIA"/>
    <s v="Contadores de Nota Final y Cantidad"/>
    <s v="Validación / Observaciones"/>
    <s v="Sistema (Automático)"/>
    <s v="V_18_1"/>
    <s v="Dentro de la pestaña &quot;Observaciones&quot; se visualizan el contador &quot;Cantidad de Observaciones&quot;. Estos contadores se actualizan según las observaciones visibles."/>
    <s v="No"/>
    <s v="2026-05-28"/>
    <x v="0"/>
    <s v="OK"/>
  </r>
  <r>
    <x v="0"/>
    <s v="VALIDACION"/>
    <s v="V_18"/>
    <s v="MEDIA"/>
    <s v="Contadores de Nota Final y Cantidad"/>
    <s v="Validación / Observaciones"/>
    <s v="Sistema (Automático)"/>
    <s v="V_18_2"/>
    <s v="Si no existen observaciones en la vista actual, el sistema muestra los contadores en cero."/>
    <s v="No"/>
    <s v="2026-05-28"/>
    <x v="0"/>
    <s v="OK"/>
  </r>
  <r>
    <x v="0"/>
    <s v="VALIDACION"/>
    <s v="V_19"/>
    <s v="ALTA"/>
    <s v="Aprobación Automatica de Informe"/>
    <s v="Validación / Observaciones"/>
    <s v="Sistema (Automático)"/>
    <s v="V_19_1"/>
    <s v="Por medio de un proceso automático, si un informe tiene todas las observaciones en estado &quot;Resuelta en Validación&quot;, el sistema cambia el estado del informe a  &quot;Aprobado&quot;"/>
    <s v="No"/>
    <s v="2026-08-11"/>
    <x v="0"/>
    <s v="OK"/>
  </r>
  <r>
    <x v="0"/>
    <s v="VALIDACION"/>
    <s v="V_19"/>
    <s v="ALTA"/>
    <s v="Aprobación Automatica de Informe"/>
    <s v="Validación / Observaciones"/>
    <s v="Sistema (Automático)"/>
    <s v="V_19_2"/>
    <s v="Si existe al menos una observación que no esté en estado &quot;Resuelta en Validación&quot;, el sistema no cambia el estado del informe."/>
    <s v="No"/>
    <s v="2026-08-11"/>
    <x v="0"/>
    <s v="OK"/>
  </r>
  <r>
    <x v="0"/>
    <s v="VALIDACION"/>
    <s v="V_19"/>
    <s v="ALTA"/>
    <s v="Aprobación Automatica de Informe"/>
    <s v="Validación / Observaciones"/>
    <s v="Sistema (Automático)"/>
    <s v="V_19_3"/>
    <s v="Si la &quot;Aprobación&quot; fue realizada automáticamente, en la cabecera del informe de validación se muestra la alerta: &quot;[INFO]: Informe aprobado automáticamente&quot;."/>
    <s v="No"/>
    <s v="2026-05-28"/>
    <x v="0"/>
    <s v="OK"/>
  </r>
  <r>
    <x v="0"/>
    <s v="VALIDACION"/>
    <s v="V_19"/>
    <s v="ALTA"/>
    <s v="Aprobación Automatica de Informe"/>
    <s v="Validación / Observaciones"/>
    <s v="Sistema (Automático)"/>
    <s v="V_19_4"/>
    <s v="El sistema registra el cambio de estado en el historial."/>
    <s v="No"/>
    <s v="2026-05-28"/>
    <x v="0"/>
    <s v="OK"/>
  </r>
  <r>
    <x v="0"/>
    <s v="VALIDACION"/>
    <s v="V_20"/>
    <s v="ALTA"/>
    <s v="Asignación de Observación a Múltiples Modelos"/>
    <s v="Validación / Observaciones"/>
    <s v="GRM_VALIDADOR_EJECUTOR y GRM_VALIDADOR_APROBADOR"/>
    <s v="V_20_1"/>
    <s v="Al acceder a la sección de asignación de modelos, botón &quot;Agregar Múltiples&quot;, se debe mostrar una lista de modelos disponibles."/>
    <s v="No"/>
    <s v="2026-05-13"/>
    <x v="0"/>
    <s v="OK"/>
  </r>
  <r>
    <x v="0"/>
    <s v="VALIDACION"/>
    <s v="V_20"/>
    <s v="ALTA"/>
    <s v="Asignación de Observación a Múltiples Modelos"/>
    <s v="Validación / Observaciones"/>
    <s v="GRM_VALIDADOR_EJECUTOR y GRM_VALIDADOR_APROBADOR"/>
    <s v="V_20_2"/>
    <s v="El usuario puede seleccionar múltiples modelos para asociar a la observación."/>
    <s v="No"/>
    <s v="2026-05-13"/>
    <x v="0"/>
    <s v="OK"/>
  </r>
  <r>
    <x v="0"/>
    <s v="VALIDACION"/>
    <s v="V_20"/>
    <s v="ALTA"/>
    <s v="Asignación de Observación a Múltiples Modelos"/>
    <s v="Validación / Observaciones"/>
    <s v="GRM_VALIDADOR_EJECUTOR y GRM_VALIDADOR_APROBADOR"/>
    <s v="V_20_3"/>
    <s v="El sistema  guarda las asociaciones de modelos para la observación y muestra la observación asociada a todos los modelos seleccionados."/>
    <s v="No"/>
    <s v="2026-07-27"/>
    <x v="0"/>
    <s v="OK"/>
  </r>
  <r>
    <x v="0"/>
    <s v="VALIDACION"/>
    <s v="V_20"/>
    <s v="ALTA"/>
    <s v="Asignación de Observación a Múltiples Modelos"/>
    <s v="Validación / Observaciones"/>
    <s v="GRM_VALIDADOR_EJECUTOR y GRM_VALIDADOR_APROBADOR"/>
    <s v="V_20_4"/>
    <s v="Si se intenta agregar un modelo que ya fue asociado a una observación, el sistema muestra un mensaje indicando que el modelo ya está asociado."/>
    <s v="No"/>
    <s v="2026-05-19"/>
    <x v="1"/>
    <s v="N/A"/>
  </r>
  <r>
    <x v="0"/>
    <s v="VALIDACION"/>
    <s v="V_21"/>
    <s v="ALTA"/>
    <s v="Campos Nota Inicial y Nota Final"/>
    <s v="Validación / Observaciones"/>
    <s v="GRM_VALIDADOR_EJECUTOR y GRM_VALIDADOR_APROBADOR, GRM_REVISOR y GRM_ADMINISTRADOR"/>
    <s v="V_21_1"/>
    <s v="Al navegar hasta la edición de una observación, el sistema muestra los campos de la observación incluyendo &quot;Gravedad Inicial&quot; y &quot;Gravedad Final&quot;."/>
    <s v="No"/>
    <s v="2026-05-11"/>
    <x v="0"/>
    <s v="OK"/>
  </r>
  <r>
    <x v="0"/>
    <s v="VALIDACION"/>
    <s v="V_21"/>
    <s v="ALTA"/>
    <s v="Campos Nota Inicial y Nota Final"/>
    <s v="Validación / Observaciones"/>
    <s v="GRM_VALIDADOR_EJECUTOR y GRM_VALIDADOR_APROBADOR, GRM_REVISOR y GRM_ADMINISTRADOR"/>
    <s v="V_21_2"/>
    <s v="El usuario puede ver y editar los valores de ambos campos según sus permisos. Ambos campos deben ser editables y de tipo Decimal."/>
    <s v="No"/>
    <s v="2026-05-11"/>
    <x v="0"/>
    <s v="OK"/>
  </r>
  <r>
    <x v="0"/>
    <s v="VALIDACION"/>
    <s v="V_21"/>
    <s v="ALTA"/>
    <s v="Campos Nota Inicial y Nota Final"/>
    <s v="Validación / Observaciones"/>
    <s v="GRM_VALIDADOR_EJECUTOR y GRM_VALIDADOR_APROBADOR, GRM_REVISOR y GRM_ADMINISTRADOR"/>
    <s v="V_21_3"/>
    <s v="El sistema  guarda corretamente los cambios realizados en ambos campos mostrando un mensaje de Éxito."/>
    <s v="No"/>
    <s v="2026-05-11"/>
    <x v="0"/>
    <s v="OK"/>
  </r>
  <r>
    <x v="0"/>
    <s v="VALIDACION"/>
    <s v="V_21"/>
    <s v="ALTA"/>
    <s v="Campos Nota Inicial y Nota Final"/>
    <s v="Validación / Observaciones"/>
    <s v="GRM_VALIDADOR_EJECUTOR y GRM_VALIDADOR_APROBADOR, GRM_REVISOR y GRM_ADMINISTRADOR"/>
    <s v="V_21_4"/>
    <s v="Si el usuario intenta modificar manualmente el campo Nota, el sistema verifica si el cálculo automático está habilitado y permite o restringe la edición según la configuración."/>
    <s v="No"/>
    <s v="2026-05-20"/>
    <x v="1"/>
    <s v="N/A"/>
  </r>
  <r>
    <x v="0"/>
    <s v="VALIDACION"/>
    <s v="V_22"/>
    <s v="ALTA"/>
    <s v="Campo “Categoria/Prueba"/>
    <s v="Validación / Observaciones"/>
    <s v="GRM_VALIDADOR_EJECUTOR, GRM_VALIDADOR_APROBADOR, GRM_REVISOR y GRM_ADMINISTRADOR"/>
    <s v="V_22_1"/>
    <s v="Al navegar hasta la edición de una observación, el sistema muestra el campo “Categoria/Prueba” con una lista desplegable. Campo Obligatorio."/>
    <s v="No"/>
    <s v="2026-05-11"/>
    <x v="0"/>
    <s v="OK"/>
  </r>
  <r>
    <x v="0"/>
    <s v="VALIDACION"/>
    <s v="V_22"/>
    <s v="ALTA"/>
    <s v="Campo “Categoria/Prueba"/>
    <s v="Validación / Observaciones"/>
    <s v="GRM_VALIDADOR_EJECUTOR, GRM_VALIDADOR_APROBADOR, GRM_REVISOR y GRM_ADMINISTRADOR"/>
    <s v="V_22_2"/>
    <s v="El usuario puede seleccionar un valor de la lista de categorías definidas en el mantenedor y el sistema guarda correctamente la categoría seleccionada para la observación."/>
    <s v="No"/>
    <s v="2026-05-11"/>
    <x v="0"/>
    <s v="OK"/>
  </r>
  <r>
    <x v="0"/>
    <s v="VALIDACION"/>
    <s v="V_22"/>
    <s v="ALTA"/>
    <s v="Campo “Categoria/Prueba"/>
    <s v="Validación / Observaciones"/>
    <s v="GRM_VALIDADOR_EJECUTOR, GRM_VALIDADOR_APROBADOR, GRM_REVISOR y GRM_ADMINISTRADOR"/>
    <s v="V_22_3"/>
    <s v="Si no existen categorías configuradas en el mantenedor, el sistema debe mostrar un mensaje indicando que no hay categorías disponibles."/>
    <s v="No"/>
    <s v="2026-05-20"/>
    <x v="0"/>
    <s v="OK"/>
  </r>
  <r>
    <x v="0"/>
    <s v="VALIDACION"/>
    <s v="V_23"/>
    <s v="ALTA"/>
    <s v="Crear Mantenedor de Categoria"/>
    <s v="Validación / Observaciones"/>
    <s v="GRM_ADMINISTRADOR"/>
    <s v="V_23_1"/>
    <s v="El administrador en la sección de Mantenedores del sistema, al seleccionar el mantenedor «Categoría», el sistema debe mostrar la lista de categorías disponibles, y se debe poder agregar, modificar o eliminar categorías"/>
    <s v="No"/>
    <s v="2026-05-11"/>
    <x v="0"/>
    <s v="OK"/>
  </r>
  <r>
    <x v="0"/>
    <s v="VALIDACION"/>
    <s v="V_23"/>
    <s v="ALTA"/>
    <s v="Crear Mantenedor de Categoria"/>
    <s v="Validación / Observaciones"/>
    <s v="GRM_ADMINISTRADOR"/>
    <s v="V_23_2"/>
    <s v="El sistema  guarda los cambios realizados y muestra un mensaje de exito."/>
    <s v="No"/>
    <s v="2026-05-11"/>
    <x v="0"/>
    <s v="OK"/>
  </r>
  <r>
    <x v="0"/>
    <s v="VALIDACION"/>
    <s v="V_23"/>
    <s v="ALTA"/>
    <s v="Crear Mantenedor de Categoria"/>
    <s v="Validación / Observaciones"/>
    <s v="GRM_ADMINISTRADOR"/>
    <s v="V_23_3"/>
    <s v="Si el administrador intenta eliminar una categoría y esta está siendo utilizada en observaciones, el sistema muestra un mensaje indicando que la categoría está en uso."/>
    <s v="No"/>
    <s v="2026-05-20"/>
    <x v="0"/>
    <s v="OK"/>
  </r>
  <r>
    <x v="0"/>
    <s v="VALIDACION"/>
    <s v="V_24"/>
    <s v="ALTA"/>
    <s v="Campos Descripcion Inicial y Final"/>
    <s v="Validación / Observaciones"/>
    <s v="GRM_VALIDADOR_EJECUTOR y GRM_VALIDADOR_APROBADOR , GRM_REVISOR y GRM_ADMINISTRADOR"/>
    <s v="V_24_1"/>
    <s v="En la edición de una observación, el sistema muestra los campos «Descripción Inicial» y «Descripción Final» con editor de texto enriquecido."/>
    <s v="No"/>
    <s v="2026-05-11"/>
    <x v="0"/>
    <s v="OK"/>
  </r>
  <r>
    <x v="0"/>
    <s v="VALIDACION"/>
    <s v="V_24"/>
    <s v="ALTA"/>
    <s v="Campos Descripcion Inicial y Final"/>
    <s v="Validación / Observaciones"/>
    <s v="GRM_VALIDADOR_EJECUTOR y GRM_VALIDADOR_APROBADOR , GRM_REVISOR y GRM_ADMINISTRADOR"/>
    <s v="V_24_2"/>
    <s v="El usuario debe poder redactar usando opciones de formato. (negritas, subrayado, tabulaciones, etc.)"/>
    <s v="No"/>
    <s v="2026-05-11"/>
    <x v="0"/>
    <s v="OK"/>
  </r>
  <r>
    <x v="0"/>
    <s v="VALIDACION"/>
    <s v="V_24"/>
    <s v="ALTA"/>
    <s v="Campos Descripcion Inicial y Final"/>
    <s v="Validación / Observaciones"/>
    <s v="GRM_VALIDADOR_EJECUTOR y GRM_VALIDADOR_APROBADOR , GRM_REVISOR y GRM_ADMINISTRADOR"/>
    <s v="V_24_3"/>
    <s v="Tras escribir el Descripción Final, el sistema guarda ambas descripciones con formato enriquecido, mostrando mensaje de exito."/>
    <s v="No"/>
    <s v="2026-05-11"/>
    <x v="0"/>
    <s v="OK"/>
  </r>
  <r>
    <x v="0"/>
    <s v="VALIDACION"/>
    <s v="V_24"/>
    <s v="ALTA"/>
    <s v="Campos Descripcion Inicial y Final"/>
    <s v="Validación / Observaciones"/>
    <s v="GRM_VALIDADOR_EJECUTOR y GRM_VALIDADOR_APROBADOR , GRM_REVISOR y GRM_ADMINISTRADOR"/>
    <s v="V_24_4"/>
    <s v="Si se intenta pegar contenido con formato no permitido, el sistema muestra un mensaje indicando el formato no soportado."/>
    <s v="No"/>
    <s v="2026-05-11"/>
    <x v="0"/>
    <s v="OK"/>
  </r>
  <r>
    <x v="0"/>
    <s v="VALIDACION"/>
    <s v="V_25"/>
    <s v="ALTA"/>
    <s v="Eliminar Campo Grupo Capital"/>
    <s v="Validación / Observaciones"/>
    <s v="N/A"/>
    <s v="V_25_1"/>
    <s v="[Prueba de verificación] El administrador ejecuta el proceso de eliminación del campo Grupo Capital y el sistema actualiza las vistas y querys afectadas. Este verifica que no existan referencias pendientes al campo."/>
    <s v="No"/>
    <s v="2026-05-11"/>
    <x v="0"/>
    <s v="OK"/>
  </r>
  <r>
    <x v="0"/>
    <s v="VALIDACION"/>
    <s v="V_25"/>
    <s v="ALTA"/>
    <s v="Eliminar Campo Grupo Capital"/>
    <s v="Validación / Observaciones"/>
    <s v="N/A"/>
    <s v="V_25_2"/>
    <s v="[Prueba de verificación] Si el sistema verifica que si existen datos históricos asociados al campo, el sistema archiva los datos antes de eliminar el campo."/>
    <s v="No"/>
    <s v="2026-05-11"/>
    <x v="0"/>
    <s v="OK"/>
  </r>
  <r>
    <x v="0"/>
    <s v="VALIDACION"/>
    <s v="V_25"/>
    <s v="ALTA"/>
    <s v="Eliminar Campo Grupo Capital"/>
    <s v="Validación / Observaciones"/>
    <s v="N/A"/>
    <s v="V_25_3"/>
    <s v="Como postcondición, el campo Grupo Capital ya no aparecce en la interfaz de observaciones."/>
    <s v="No"/>
    <s v="2026-05-11"/>
    <x v="0"/>
    <s v="OK"/>
  </r>
  <r>
    <x v="0"/>
    <s v="VALIDACION"/>
    <s v="V_26"/>
    <s v="ALTA"/>
    <s v="Desbloqueo del Campo Nota (corregido en refinamientos como gravedad inicial y gravedad final)"/>
    <s v="Validación / Observaciones"/>
    <s v="GRM_VALIDADOR_EJECUTOR y GRM_VALIDADOR_APROBADOR"/>
    <s v="V_26_1"/>
    <s v="El usuario al navegar hasta una observación en estado «Resuelta en Validación», debe poder visualizar los nuevos campos Gravedad Inicial y Gravedad Final (Antes mostrados como campo Nota)."/>
    <s v="No"/>
    <s v="2026-05-11"/>
    <x v="0"/>
    <s v="OK"/>
  </r>
  <r>
    <x v="0"/>
    <s v="VALIDACION"/>
    <s v="V_26"/>
    <s v="ALTA"/>
    <s v="Desbloqueo del Campo Nota (corregido en refinamientos como gravedad inicial y gravedad final)"/>
    <s v="Validación / Observaciones"/>
    <s v="GRM_VALIDADOR_EJECUTOR y GRM_VALIDADOR_APROBADOR"/>
    <s v="V_26_2"/>
    <s v="Debe estar bloqueada la funcionalidad que antes bloqueaba la nota cuando estaba es Resuelta en Validación, ahora estos campos deben estar disponibles siempre. Es decir, los campos Gravedad Inicial y Gravedad Final deben poder editarse en todo momento, independiente del estado."/>
    <s v="No"/>
    <s v="2026-05-11"/>
    <x v="0"/>
    <s v="OK"/>
  </r>
  <r>
    <x v="0"/>
    <s v="VALIDACION"/>
    <s v="V_26"/>
    <s v="ALTA"/>
    <s v="Desbloqueo del Campo Nota (corregido en refinamientos como gravedad inicial y gravedad final)"/>
    <s v="Validación / Observaciones"/>
    <s v="GRM_VALIDADOR_EJECUTOR y GRM_VALIDADOR_APROBADOR"/>
    <s v="V_26_3"/>
    <s v="El sistema  guarda los cambios realizados y actualiza el historial de modificaciones de la nota."/>
    <s v="No"/>
    <s v="2026-05-20"/>
    <x v="1"/>
    <s v="N/A"/>
  </r>
  <r>
    <x v="0"/>
    <s v="VALIDACION"/>
    <s v="V_26"/>
    <s v="ALTA"/>
    <s v="Desbloqueo del Campo Nota (corregido en refinamientos como gravedad inicial y gravedad final)"/>
    <s v="Validación / Observaciones"/>
    <s v="GRM_VALIDADOR_EJECUTOR y GRM_VALIDADOR_APROBADOR"/>
    <s v="V_26_4"/>
    <s v="El campo Gravedad Inicial es de tipo Obligatorio, de tipo Numero y longitud 5 digitos, 2 decimales."/>
    <s v="No"/>
    <s v="2026-05-28"/>
    <x v="0"/>
    <s v="OK"/>
  </r>
  <r>
    <x v="0"/>
    <s v="VALIDACION"/>
    <s v="V_26"/>
    <s v="ALTA"/>
    <s v="Desbloqueo del Campo Nota (corregido en refinamientos como gravedad inicial y gravedad final)"/>
    <s v="Validación / Observaciones"/>
    <s v="GRM_VALIDADOR_EJECUTOR y GRM_VALIDADOR_APROBADOR"/>
    <s v="V_26_5"/>
    <s v="Si el usuario intenta guardar un valor de nota fuera del rango permitido, el sistema muestra un mensaje de validación indicando el rango válido."/>
    <s v="No"/>
    <s v="2026-05-11"/>
    <x v="0"/>
    <s v="OK"/>
  </r>
  <r>
    <x v="0"/>
    <s v="VALIDACION"/>
    <s v="V_27"/>
    <s v="ALTA"/>
    <s v="Selección de FEV en Observación Excepcionada"/>
    <s v="Validación / Observaciones"/>
    <s v="GRM_VALIDADOR_EJECUTOR, GRM_REVISOR, GRM_ADMINISTRADOR y GRM_VALIDADOR_APROBADOR"/>
    <s v="V_27_1"/>
    <s v="El usuario al navegar hasta una observación, si el estado es «Excepcionada», el sistema muestra el campo de selección de FEV. El usuario debe poder seleccionar un FEV de la lista de Formularios de Excepción creados."/>
    <s v="No"/>
    <s v="2026-05-11"/>
    <x v="0"/>
    <s v="OK"/>
  </r>
  <r>
    <x v="0"/>
    <s v="VALIDACION"/>
    <s v="V_27"/>
    <s v="ALTA"/>
    <s v="Selección de FEV en Observación Excepcionada"/>
    <s v="Validación / Observaciones"/>
    <s v="GRM_VALIDADOR_EJECUTOR, GRM_REVISOR, GRM_ADMINISTRADOR y GRM_VALIDADOR_APROBADOR"/>
    <s v="V_27_2"/>
    <s v="El sistema  guarda la asociación entre la observación y el FEV seleccionado."/>
    <s v="No"/>
    <s v="2026-05-11"/>
    <x v="0"/>
    <s v="OK"/>
  </r>
  <r>
    <x v="0"/>
    <s v="VALIDACION"/>
    <s v="V_27"/>
    <s v="ALTA"/>
    <s v="Selección de FEV en Observación Excepcionada"/>
    <s v="Validación / Observaciones"/>
    <s v="GRM_VALIDADOR_EJECUTOR, GRM_REVISOR, GRM_ADMINISTRADOR y GRM_VALIDADOR_APROBADOR"/>
    <s v="V_27_3"/>
    <s v="Si el estado de la observación no es Excepcionada, el campo se muestra desactivado. En caso de pinchar en este campo, se muestra un mensaje de alerta: &quot;Campo no disponible para este estado&quot;"/>
    <s v="No"/>
    <s v="2026-05-11"/>
    <x v="0"/>
    <s v="OK"/>
  </r>
  <r>
    <x v="0"/>
    <s v="VALIDACION"/>
    <s v="V_27"/>
    <s v="ALTA"/>
    <s v="Selección de FEV en Observación Excepcionada"/>
    <s v="Validación / Observaciones"/>
    <s v="GRM_VALIDADOR_EJECUTOR, GRM_REVISOR, GRM_ADMINISTRADOR y GRM_VALIDADOR_APROBADOR"/>
    <s v="V_27_4"/>
    <s v="Si no existen FEV creados en el sistema, se muestra un mensaje indicando que no hay FEV disponibles."/>
    <s v="No"/>
    <s v="2026-05-18"/>
    <x v="0"/>
    <s v="OK"/>
  </r>
  <r>
    <x v="0"/>
    <s v="VALIDACION"/>
    <s v="V_27"/>
    <s v="ALTA"/>
    <s v="Selección de FEV en Observación Excepcionada"/>
    <s v="Validación / Observaciones"/>
    <s v="GRM_VALIDADOR_EJECUTOR, GRM_REVISOR, GRM_ADMINISTRADOR y GRM_VALIDADOR_APROBADOR"/>
    <s v="V_27_5"/>
    <s v="Si el usuario selecciona un FEV que no corresponde a la observación, el sistema muestra un mensaje de Validación indicando que FEV no corresponde."/>
    <s v="No"/>
    <s v="2026-05-18"/>
    <x v="1"/>
    <s v="N/A"/>
  </r>
  <r>
    <x v="0"/>
    <s v="VALIDACION"/>
    <s v="V_28"/>
    <s v="ALTA"/>
    <s v="Campo Usos Validados"/>
    <s v="Validación / Observaciones"/>
    <s v="GRM_VALIDADOR_EJECUTOR y GRM_VALIDADOR_APROBADOR"/>
    <s v="V_28_1"/>
    <s v="El usuario al navegar hasta la edición de una observación, debe poder visualizar el campo «Usos Validados» con lista de selección múltiple. Este campo debe estar disponible todo el tiempo, independiente de el campo Objetivo de la Validación."/>
    <s v="No"/>
    <s v="2026-05-11"/>
    <x v="0"/>
    <s v="OK"/>
  </r>
  <r>
    <x v="0"/>
    <s v="VALIDACION"/>
    <s v="V_28"/>
    <s v="ALTA"/>
    <s v="Campo Usos Validados"/>
    <s v="Validación / Observaciones"/>
    <s v="GRM_VALIDADOR_EJECUTOR y GRM_VALIDADOR_APROBADOR"/>
    <s v="V_28_2"/>
    <s v="Al ingresar a la vista, debe venir este campo con valor por defecto en blanco, pero debe aparecer la opcion &quot;No Aplica&quot; (Ambito, principio, categoria/prueba)"/>
    <s v="No"/>
    <s v="2026-06-18"/>
    <x v="0"/>
    <s v="OK"/>
  </r>
  <r>
    <x v="0"/>
    <s v="VALIDACION"/>
    <s v="V_28"/>
    <s v="ALTA"/>
    <s v="Campo Usos Validados"/>
    <s v="Validación / Observaciones"/>
    <s v="GRM_VALIDADOR_EJECUTOR y GRM_VALIDADOR_APROBADOR"/>
    <s v="V_28_3"/>
    <s v="Se puede seleccionar uno o más Usos Validados."/>
    <s v="No"/>
    <s v="2026-05-11"/>
    <x v="0"/>
    <s v="OK"/>
  </r>
  <r>
    <x v="0"/>
    <s v="VALIDACION"/>
    <s v="V_28"/>
    <s v="ALTA"/>
    <s v="Campo Usos Validados"/>
    <s v="Validación / Observaciones"/>
    <s v="GRM_VALIDADOR_EJECUTOR y GRM_VALIDADOR_APROBADOR"/>
    <s v="V_28_4"/>
    <s v="El sistema  guarda la selección de usos validados."/>
    <s v="No"/>
    <s v="2026-05-11"/>
    <x v="0"/>
    <s v="OK"/>
  </r>
  <r>
    <x v="0"/>
    <s v="VALIDACION"/>
    <s v="V_29"/>
    <s v="ALTA"/>
    <s v="Restriccion de Envio a Revision por Rol"/>
    <s v="Validación / Observaciones"/>
    <s v="GRM_VALIDADOR_APROBADOR, GRM_DESA_APROBADOR, GRM_IMPLEM_APROBADOR, GRM_REVISOR y GRM_ADMINISTRADOR"/>
    <s v="V_29_1"/>
    <s v="En la vista VALIDACIÓN / OBSERVACIONES, al intentar envíar a revisión, sólo el rol de Validador Aprobador puede hacerlo, siempre y cuando la observación está lista para envío a revisión. Si se cumple esta condición, el sistema procesa el envío a revisión y muestra una alerta: &quot;[EXITO]: Observación enviada a revisión&quot;."/>
    <s v="No"/>
    <s v="2026-05-28"/>
    <x v="0"/>
    <s v="OK"/>
  </r>
  <r>
    <x v="0"/>
    <s v="VALIDACION"/>
    <s v="V_29"/>
    <s v="ALTA"/>
    <s v="Restriccion de Envio a Revision por Rol"/>
    <s v="Validación / Observaciones"/>
    <s v="GRM_VALIDADOR_APROBADOR, GRM_DESA_APROBADOR, GRM_IMPLEM_APROBADOR, GRM_REVISOR y GRM_ADMINISTRADOR"/>
    <s v="V_29_2"/>
    <s v="Si no se tiene el rol correspondiente, no se envía, el botón de envío a revisión permanece deshabilitado y se muestra alerta: &quot;[PERMISOS]: No tiene permisos para enviar a revisión&quot;."/>
    <s v="No"/>
    <s v="2026-05-11"/>
    <x v="0"/>
    <s v="OK"/>
  </r>
  <r>
    <x v="0"/>
    <s v="VALIDACION"/>
    <s v="V_30"/>
    <s v="MEDIA"/>
    <s v="Edicion de Campos por Administrador en Observaciones Cerradas"/>
    <s v="Validación / Observaciones / Administrador"/>
    <s v="GRM_ADMINISTRADOR"/>
    <s v="V_30_1"/>
    <s v="En la vista VALIDACIÓN / OBSERVACIONES/ ADMINISTRADOR, el administrador debe poder editar los campos de una observación, aunque esta se encuentre en estado «Cerrada». El sistema guarda los cambios y muestra una confirmación con los cambios realizados con una alerta: [WARNING]: Editando observación cerrada - Los cambios quedan registrados."/>
    <s v="No"/>
    <s v="2026-05-18"/>
    <x v="2"/>
    <s v="OBS"/>
  </r>
  <r>
    <x v="0"/>
    <s v="VALIDACION"/>
    <s v="V_30"/>
    <s v="MEDIA"/>
    <s v="Edicion de Campos por Administrador en Observaciones Cerradas"/>
    <s v="Validación / Observaciones / Administrador"/>
    <s v="GRM_ADMINISTRADOR"/>
    <s v="V_30_2"/>
    <s v="Si se intenta modificar un campo protegido, se muestra un mensaje indicando que el campo no puede ser modificado."/>
    <s v="No"/>
    <s v="2026-05-20"/>
    <x v="0"/>
    <s v="OK"/>
  </r>
  <r>
    <x v="0"/>
    <s v="VALIDACION"/>
    <s v="V_31"/>
    <s v="ALTA"/>
    <s v="asignación de Archivos a Observaciones"/>
    <s v="Validación / Evidencias"/>
    <s v="GRM_VALIDADOR_EJECUTOR, GRM_VALIDADOR_APROBADOR, GRM_DESA_EJECUTOR, GRM_DESA_APROBADOR, GRM_IMPLEM_EJECUTOR, GRM_IMPLEM_APROBADOR, GRM_REVISOR y GRM_ADMINISTRADOR"/>
    <s v="V_31_1"/>
    <s v="Al ingresar a la gestión de evidencias y ver el panel con archivos y observaciones, el usuario debe poder seleccionar uno o más archivos para poder asignarlo a una o más Observaciones."/>
    <s v="No"/>
    <m/>
    <x v="0"/>
    <s v="OK"/>
  </r>
  <r>
    <x v="0"/>
    <s v="VALIDACION"/>
    <s v="V_31"/>
    <s v="ALTA"/>
    <s v="asignación de Archivos a Observaciones"/>
    <s v="Validación / Evidencias"/>
    <s v="GRM_VALIDADOR_EJECUTOR, GRM_VALIDADOR_APROBADOR, GRM_DESA_EJECUTOR, GRM_DESA_APROBADOR, GRM_IMPLEM_EJECUTOR, GRM_IMPLEM_APROBADOR, GRM_REVISOR y GRM_ADMINISTRADOR"/>
    <s v="V_31_2"/>
    <s v="En la interfaz de asignación de archivos, se puede visualizar en donde se incorporarán los archivos que sean seleccionados  a las distintas Observaciones Seleccionadas dentro del mismo formulario y se debe poder agregar Descripcion."/>
    <s v="No"/>
    <m/>
    <x v="0"/>
    <s v="OK"/>
  </r>
  <r>
    <x v="0"/>
    <s v="VALIDACION"/>
    <s v="V_31"/>
    <s v="ALTA"/>
    <s v="asignación de Archivos a Observaciones"/>
    <s v="Validación / Evidencias"/>
    <s v="GRM_VALIDADOR_EJECUTOR, GRM_VALIDADOR_APROBADOR, GRM_DESA_EJECUTOR, GRM_DESA_APROBADOR, GRM_IMPLEM_EJECUTOR, GRM_IMPLEM_APROBADOR, GRM_REVISOR y GRM_ADMINISTRADOR"/>
    <s v="V_31_3"/>
    <s v="Luego de seleccionar los archivos asignados a las observaciones, el sistema muestra un resumen de los vínculos a crear e informa posibes duplicados."/>
    <s v="No"/>
    <m/>
    <x v="0"/>
    <s v="OK"/>
  </r>
  <r>
    <x v="0"/>
    <s v="VALIDACION"/>
    <s v="V_31"/>
    <s v="ALTA"/>
    <s v="asignación de Archivos a Observaciones"/>
    <s v="Validación / Evidencias"/>
    <s v="GRM_VALIDADOR_EJECUTOR, GRM_VALIDADOR_APROBADOR, GRM_DESA_EJECUTOR, GRM_DESA_APROBADOR, GRM_IMPLEM_EJECUTOR, GRM_IMPLEM_APROBADOR, GRM_REVISOR y GRM_ADMINISTRADOR"/>
    <s v="V_31_4"/>
    <s v="Al confirmar la acción haciendo clic en «Asignar archivos», el sistema valida y muestra un mensaje con el resultado, actualizando la vista :[EXITO]: Archivo asignado correctamente"/>
    <s v="No"/>
    <m/>
    <x v="0"/>
    <s v="OK"/>
  </r>
  <r>
    <x v="0"/>
    <s v="VALIDACION"/>
    <s v="V_31"/>
    <s v="ALTA"/>
    <s v="asignación de Archivos a Observaciones"/>
    <s v="Validación / Evidencias"/>
    <s v="GRM_VALIDADOR_EJECUTOR, GRM_VALIDADOR_APROBADOR, GRM_DESA_EJECUTOR, GRM_DESA_APROBADOR, GRM_IMPLEM_EJECUTOR, GRM_IMPLEM_APROBADOR, GRM_REVISOR y GRM_ADMINISTRADOR"/>
    <s v="V_31_5"/>
    <s v="Se dejará la funcion actual de Editar en forma independiente para cada uno de los archivos de las observaciones respectivas."/>
    <s v="No"/>
    <m/>
    <x v="0"/>
    <s v="OK"/>
  </r>
  <r>
    <x v="0"/>
    <s v="VALIDACION"/>
    <s v="V_31"/>
    <s v="ALTA"/>
    <s v="asignación de Archivos a Observaciones"/>
    <s v="Validación / Evidencias"/>
    <s v="GRM_VALIDADOR_EJECUTOR, GRM_VALIDADOR_APROBADOR, GRM_DESA_EJECUTOR, GRM_DESA_APROBADOR, GRM_IMPLEM_EJECUTOR, GRM_IMPLEM_APROBADOR, GRM_REVISOR y GRM_ADMINISTRADOR"/>
    <s v="V_31_6"/>
    <s v="Si el usuario intenta asignar un archivo que ya está asociado a una observación, el sistema detecta la asiganción existente y pregunta si se desea mover el archivo a la nueva observación o mantener la asignación actual. El usuario debe poder elegir entre sobreescribir o mantener."/>
    <s v="No"/>
    <m/>
    <x v="0"/>
    <s v="OK"/>
  </r>
  <r>
    <x v="0"/>
    <s v="VALIDACION"/>
    <s v="V_32"/>
    <s v="ALTA"/>
    <s v="Visualizacion de Documentos Asociados"/>
    <s v="Validación"/>
    <s v="GRM_VALIDADOR_EJECUTOR, GRM_VALIDADOR_APROBADOR"/>
    <s v="V_32_1"/>
    <s v="Al navegar hasta una observación específica, desde la misma ventana de la observación se podrán ver los documentos asociados a la observación, con sus nombres, tipos y fechas."/>
    <s v="No"/>
    <m/>
    <x v="0"/>
    <s v="OK"/>
  </r>
  <r>
    <x v="0"/>
    <s v="VALIDACION"/>
    <s v="V_32"/>
    <s v="ALTA"/>
    <s v="Visualizacion de Documentos Asociados"/>
    <s v="Validación"/>
    <s v="GRM_VALIDADOR_EJECUTOR, GRM_VALIDADOR_APROBADOR"/>
    <s v="V_32_2"/>
    <s v="El usuario debe poder hacer clic para descargar un archivo, se muestra un mensaje de &quot;[EXITO]: Documento descargado correctamente&quot;. O de error, si corresponde el caso: &quot;[ERROR]: El documento no se encuentra disponible para descarga&quot;. Debe mostrar también tipo de Error (500, 401, 403, 404, 503, TIMEOUT (30 segundos))"/>
    <s v="No"/>
    <m/>
    <x v="0"/>
    <s v="OK"/>
  </r>
  <r>
    <x v="0"/>
    <s v="VALIDACION"/>
    <s v="V_32"/>
    <s v="ALTA"/>
    <s v="Visualizacion de Documentos Asociados"/>
    <s v="Validación"/>
    <s v="GRM_VALIDADOR_EJECUTOR, GRM_VALIDADOR_APROBADOR"/>
    <s v="V_32_3"/>
    <s v="Si la lista de Documentos se encuentra vacía, se muestra un mensaje: “No hay documentos asociados a esta observación”. El usuario debe poder agregar documentos si tiene los permisos correspondientes."/>
    <s v="No"/>
    <m/>
    <x v="0"/>
    <s v="OK"/>
  </r>
  <r>
    <x v="0"/>
    <s v="VALIDACION"/>
    <s v="V_33"/>
    <s v="ALTA"/>
    <s v="Visualizacion de Observaciones Excepcionadas en FEV"/>
    <s v="Validación / FEV"/>
    <s v="GRM_VALIDADOR_EJECUTOR, GRM_VALIDADOR_APROBADOR, GRM_REVISOR y GRM_ADMINISTRADOR"/>
    <s v="V_33_1"/>
    <s v="En la sección de FEV dentro del módulo de Validación, al seleccionar un FEV en la lista, el sistema muestra el Formulario FEV con sus pestañas. Al hacer clic en la pestaña «Sección I» el sistema muestra la lista de observaciones que fueron excepcionadas en el informe de validación y estan asiganadas a este ID FEV, en donde se pueden ver los detalles de cada observación listada."/>
    <s v="No"/>
    <s v="2026-05-12"/>
    <x v="0"/>
    <s v="OK"/>
  </r>
  <r>
    <x v="0"/>
    <s v="VALIDACION"/>
    <s v="V_33"/>
    <s v="ALTA"/>
    <s v="Visualizacion de Observaciones Excepcionadas en FEV"/>
    <s v="Validación / FEV"/>
    <s v="GRM_VALIDADOR_EJECUTOR, GRM_VALIDADOR_APROBADOR, GRM_REVISOR y GRM_ADMINISTRADOR"/>
    <s v="V_33_2"/>
    <s v="Si al acceder a la sección del FEV y no hay excepciones asociadas, el sistema debe mostrar un mensaje: “No hay observaciones excepcionadas asociadas a este FEV”"/>
    <s v="No"/>
    <s v="2026-05-12"/>
    <x v="0"/>
    <s v="OK"/>
  </r>
  <r>
    <x v="0"/>
    <s v="VALIDACION"/>
    <s v="V_33"/>
    <s v="ALTA"/>
    <s v="Visualizacion de Observaciones Excepcionadas en FEV"/>
    <s v="Validación / FEV"/>
    <s v="GRM_VALIDADOR_EJECUTOR, GRM_VALIDADOR_APROBADOR, GRM_REVISOR y GRM_ADMINISTRADOR"/>
    <s v="V_33_3"/>
    <s v="Si ocurre un error al consultar las observaciones en la base de datos, el sistema muestra un mensaje de error."/>
    <s v="No"/>
    <s v="2026-05-12"/>
    <x v="1"/>
    <s v="N/A"/>
  </r>
  <r>
    <x v="0"/>
    <s v="VALIDACION"/>
    <s v="V_34"/>
    <s v="ALTA"/>
    <s v="Descarga de Formulario FEV"/>
    <s v="Validación / FEV"/>
    <s v="GRM_REVISOR y GRM_ADMINISTRADOR"/>
    <s v="V_34_1"/>
    <s v="Al seleccionar un FEV que esté en estado finalizado (aprobado), al hacer clic en el botón «Descargar», el sistema muestra las opciones de formato disponibles: Word y PDF."/>
    <s v="No"/>
    <s v="2026-05-18"/>
    <x v="0"/>
    <s v="OK"/>
  </r>
  <r>
    <x v="0"/>
    <s v="VALIDACION"/>
    <s v="V_34"/>
    <s v="ALTA"/>
    <s v="Descarga de Formulario FEV"/>
    <s v="Validación / FEV"/>
    <s v="GRM_REVISOR y GRM_ADMINISTRADOR"/>
    <s v="V_34_2"/>
    <s v="Al seleccionar el formato deseado, el sistema genera el documento en este formato y se inicia la descarga del documento. Mostrando alguna de las siguientes alertas: &quot;[INFO]: Descargando FEV en formato PDF..&quot; Ó &quot;[INFO]: Descargando FEV en formato Word...&quot;"/>
    <s v="No"/>
    <s v="2026-05-18"/>
    <x v="0"/>
    <s v="OK"/>
  </r>
  <r>
    <x v="0"/>
    <s v="VALIDACION"/>
    <s v="V_34"/>
    <s v="ALTA"/>
    <s v="Descarga de Formulario FEV"/>
    <s v="Validación / FEV"/>
    <s v="GRM_REVISOR y GRM_ADMINISTRADOR"/>
    <s v="V_34_3"/>
    <s v="Si ocurre un error durante la generación del documento, se muestra un mensaje: &quot;[ERROR]: Error al generar el documento&quot;. Debe Mostrar tipo de Error (500, 401, 403, 404, 503, TIMEOUT (30 segundos)). El usuario puede intentar con otro formato o reportar el problema."/>
    <s v="No"/>
    <s v="2026-05-12"/>
    <x v="0"/>
    <s v="OK"/>
  </r>
  <r>
    <x v="0"/>
    <s v="VALIDACION"/>
    <s v="V_34"/>
    <s v="ALTA"/>
    <s v="Descarga de Formulario FEV"/>
    <s v="Validación / FEV"/>
    <s v="GRM_REVISOR y GRM_ADMINISTRADOR"/>
    <s v="V_34_4"/>
    <s v="Si se solicita la descarga de un documento extenso, y el proceso de generación excede el tiempo límite, el sistema muestra un mensaje: “El documento está siendo preparado. Recibirá una notificación cuando esté listo”. El sistema procesa la generación en segundo plano y notifica al usuario cuando esté disponible."/>
    <s v="No"/>
    <s v="2026-05-12"/>
    <x v="0"/>
    <s v="OK"/>
  </r>
  <r>
    <x v="0"/>
    <s v="VALIDACION"/>
    <s v="V_35"/>
    <s v="BAJA"/>
    <s v="Notificacion por Cambio de Estado"/>
    <s v="Gestión de Evidencias / Gestión Obs."/>
    <s v="Sistema (Automático), Equipos de GRM"/>
    <s v="V_35_1"/>
    <s v="Si existen cambios en los estados de las observaciones de «Vigente» a «En Validación», se debe enviar automáticamen un correo electrónico a los equipos de GRM y Validación al día siguiente con las listas de ID Informes e ID Observación que cambiaron de estado con el formato del correo a acordar (ID Informe, Id Observación, Esado anterior, Estado actual, Fecha de cambio de estado)."/>
    <s v="No"/>
    <s v="2026-07-27"/>
    <x v="0"/>
    <s v="OK"/>
  </r>
  <r>
    <x v="0"/>
    <s v="VALIDACION"/>
    <s v="V_35"/>
    <s v="BAJA"/>
    <s v="Notificacion por Cambio de Estado"/>
    <s v="Gestión de Evidencias / Gestión Obs."/>
    <s v="Sistema (Automático), Equipos de GRM"/>
    <s v="V_35_2"/>
    <s v="Se registra el envío exitoso del correo en el sistema."/>
    <s v="No"/>
    <s v="2026-05-28"/>
    <x v="0"/>
    <s v="OK"/>
  </r>
  <r>
    <x v="0"/>
    <s v="VALIDACION"/>
    <s v="V_35"/>
    <s v="BAJA"/>
    <s v="Notificacion por Cambio de Estado"/>
    <s v="Gestión de Evidencias / Gestión Obs."/>
    <s v="Sistema (Automático), Equipos de GRM"/>
    <s v="V_35_3"/>
    <s v="Si existe error en el servicio del correo, el sistema registra el error en los logs del sistema y se programa un reintento. Si el reintento falla, el sistema notifica al administrador del sistema."/>
    <s v="No"/>
    <s v="2026-05-28"/>
    <x v="0"/>
    <s v="OK"/>
  </r>
  <r>
    <x v="0"/>
    <s v="VALIDACION"/>
    <s v="V_35"/>
    <s v="BAJA"/>
    <s v="Notificacion por Cambio de Estado"/>
    <s v="Gestión de Evidencias / Gestión Obs."/>
    <s v="Sistema (Automático), Equipos de GRM"/>
    <s v="V_35_4"/>
    <s v="Si no existen cambios de estado en el periodo, el sistema registra en los logs que se ejecutó el proceso pero no había notificaciones pendientes."/>
    <s v="No"/>
    <s v="2026-05-28"/>
    <x v="0"/>
    <s v="OK"/>
  </r>
  <r>
    <x v="0"/>
    <s v="VALIDACION"/>
    <s v="V_35"/>
    <s v="BAJA"/>
    <s v="Notificacion por Cambio de Estado"/>
    <s v="Gestión de Evidencias / Gestión Obs."/>
    <s v="Sistema (Automático), Equipos de GRM"/>
    <s v="V_35_5"/>
    <s v="Si el sistema envía el correo electrónico exitosamente, y el servidor de correo receptor devuelve el mensaje (bounce), el sistema recibe la notificación de correo devuelto, registra el incidente y notifica al administrador sobre la dirección de correo inválida."/>
    <s v="No"/>
    <s v="2026-05-28"/>
    <x v="0"/>
    <s v="OK"/>
  </r>
  <r>
    <x v="0"/>
    <s v="VALIDACION"/>
    <s v="V_36"/>
    <s v="ALTA"/>
    <s v="Correccion de Cambio de Estado a Excepcionada"/>
    <s v="Validación"/>
    <s v="GRM_VALIDADOR_EJECUTOR y GRM_VALIDADOR_APROBADOR, GRM_REVISOR y GRM_ADMINISTRADOR"/>
    <s v="V_36_1"/>
    <s v="Al navegar hasta una observación especifica, e intentar cambiar el estado de la observación que se encuentra como «Excepcionada», se actualiza correctamente el cambio de estado y el sistema confirma el cambio de estado exitoso, siempre y cuando se tenga el rol necesario para esta acción y la observación cumpla con lo requisitos de este estado."/>
    <s v="No"/>
    <s v="2026-08-10"/>
    <x v="2"/>
    <s v="OBS"/>
  </r>
  <r>
    <x v="0"/>
    <s v="VALIDACION"/>
    <s v="V_36"/>
    <s v="ALTA"/>
    <s v="Correccion de Cambio de Estado a Excepcionada"/>
    <s v="Validación"/>
    <s v="GRM_VALIDADOR_EJECUTOR y GRM_VALIDADOR_APROBADOR, GRM_REVISOR y GRM_ADMINISTRADOR"/>
    <s v="V_36_2"/>
    <s v="Si se quiere cambiar desde un estado no válido a excepcionada, se muestra mensaje de error: &quot;Transición de estado no válida&quot;."/>
    <s v="No"/>
    <s v="2026-05-18"/>
    <x v="1"/>
    <s v="N/A"/>
  </r>
  <r>
    <x v="0"/>
    <s v="VALIDACION"/>
    <s v="V_37"/>
    <s v="ALTA"/>
    <s v="Conservacion de Dias en Estado En Validacion"/>
    <s v="Gestión de Evidencias / Gestión Obs."/>
    <s v="Sistema (Automático), Equipos de GRM"/>
    <s v="V_37_1"/>
    <s v="El usuario navega hasta una observación con el estado «En Validación», en donde se muestran la información de la Observación, incluyendo los días que lleva en validación. El conteo debe comenzar al cambiarse de estado la observación a En Validación"/>
    <s v="No"/>
    <s v="2026-05-18"/>
    <x v="0"/>
    <s v="OK"/>
  </r>
  <r>
    <x v="0"/>
    <s v="VALIDACION"/>
    <s v="V_37"/>
    <s v="ALTA"/>
    <s v="Conservacion de Dias en Estado En Validacion"/>
    <s v="Gestión de Evidencias / Gestión Obs."/>
    <s v="Sistema (Automático), Equipos de GRM"/>
    <s v="V_37_2"/>
    <s v="Al subir evidencia correctamente, el sistema actualiza la lista de evidencias asociadas a la obs. El sistema muestra un mensaje de éxito en la carga de evidencia: &quot;[EXITO]: Evidencia cargada correctamente.&quot; y NO se reinicia el conteo de días."/>
    <s v="No"/>
    <s v="2026-08-10"/>
    <x v="0"/>
    <s v="OK"/>
  </r>
  <r>
    <x v="0"/>
    <s v="VALIDACION"/>
    <s v="V_37"/>
    <s v="ALTA"/>
    <s v="Conservacion de Dias en Estado En Validacion"/>
    <s v="Gestión de Evidencias / Gestión Obs."/>
    <s v="Sistema (Automático), Equipos de GRM"/>
    <s v="V_37_3"/>
    <s v="Si al intentar subir evidencia adicional, ocurre un error, el sistema debe mostrar un mensaje de error: &quot;[ERROR]: Error al cargar la evidencia.&quot; Se debe mostrar el tipo de error. El usuario debe poder intentar nuevamente con un archivo diferente."/>
    <s v="No"/>
    <s v="2026-05-20"/>
    <x v="1"/>
    <s v="N/A"/>
  </r>
  <r>
    <x v="0"/>
    <s v="VALIDACION"/>
    <s v="V_37"/>
    <s v="ALTA"/>
    <s v="Conservacion de Dias en Estado En Validacion"/>
    <s v="Gestión de Evidencias / Gestión Obs."/>
    <s v="Sistema (Automático), Equipos de GRM"/>
    <s v="V_37_4"/>
    <s v="Si la evidencia es cargada exitosamente por el usuario pero los días en validación se reiniciaron, el usuario debe poder reportar el error y el administrador puede revisar la configuración del sistema."/>
    <s v="No"/>
    <s v="2026-05-20"/>
    <x v="1"/>
    <s v="N/A"/>
  </r>
  <r>
    <x v="0"/>
    <s v="VALIDACION"/>
    <s v="V_38"/>
    <s v="ALTA"/>
    <s v="Asignacion de Fecha de Compromiso al Cerrar"/>
    <s v="Gestión de Evidencias / Gestión Obs."/>
    <s v="Sistema (Automático)"/>
    <s v="V_38_1"/>
    <s v="Cuando una observacion pase a cerrada y esta no tiene fecha de compromiso, se le debe poner en la columna «Nueva fecha de compromiso», el día en que pasa a cerrada. El sistema muestra un mensaje de confirmación del cierre."/>
    <s v="No"/>
    <s v="2026-05-14"/>
    <x v="0"/>
    <s v="OK"/>
  </r>
  <r>
    <x v="0"/>
    <s v="VALIDACION"/>
    <s v="V_38"/>
    <s v="ALTA"/>
    <s v="Asignacion de Fecha de Compromiso al Cerrar"/>
    <s v="Gestión de Evidencias / Gestión Obs."/>
    <s v="Sistema (Automático)"/>
    <s v="V_38_2"/>
    <s v="Si la observación ya tiene una fecha de compromiso, se mantiene la fecha existente."/>
    <s v="No"/>
    <s v="2026-05-14"/>
    <x v="0"/>
    <s v="OK"/>
  </r>
  <r>
    <x v="0"/>
    <s v="VALIDACION"/>
    <s v="V_38"/>
    <s v="ALTA"/>
    <s v="Asignacion de Fecha de Compromiso al Cerrar"/>
    <s v="Gestión de Evidencias / Gestión Obs."/>
    <s v="Sistema (Automático)"/>
    <s v="V_38_3"/>
    <s v="Si existe error en el proceso de cierre de la observación, se debe mostrar el mensaje de error: &quot; [ERROR]: Error en el proceso de cierre&quot;"/>
    <s v="No"/>
    <s v="2026-05-20"/>
    <x v="1"/>
    <s v="N/A"/>
  </r>
  <r>
    <x v="0"/>
    <s v="VALIDACION"/>
    <s v="V_38"/>
    <s v="ALTA"/>
    <s v="Asignacion de Fecha de Compromiso al Cerrar"/>
    <s v="Gestión de Evidencias / Gestión Obs."/>
    <s v="Sistema (Automático)"/>
    <s v="V_38_4"/>
    <s v="Si el usuario cancela el proceso de cierre, el sistema no realiza cambios y la observación permanece en su estado anterior."/>
    <s v="No"/>
    <s v="2026-05-14"/>
    <x v="0"/>
    <s v="OK"/>
  </r>
  <r>
    <x v="0"/>
    <s v="VALIDACION"/>
    <s v="V_39"/>
    <s v="ALTA"/>
    <s v="Calculo de Nota de Informe para Modelos Historicos"/>
    <s v="Validación"/>
    <s v="Sistema (Automático)"/>
    <s v="V_39_1"/>
    <s v="Para todos los modelos y metodologías anteriores a la fecha del 31/03/2022 su nota de informe de implementación debe ser:"/>
    <s v="No"/>
    <s v="2026-05-14"/>
    <x v="0"/>
    <s v="OK"/>
  </r>
  <r>
    <x v="0"/>
    <s v="VALIDACION"/>
    <s v="V_39"/>
    <s v="ALTA"/>
    <s v="Calculo de Nota de Informe para Modelos Historicos"/>
    <s v="Validación"/>
    <s v="Sistema (Automático)"/>
    <s v="V_39_2"/>
    <s v="Los campos se registran de manera correcta:"/>
    <s v="No"/>
    <s v="2026-05-14"/>
    <x v="0"/>
    <s v="OK"/>
  </r>
  <r>
    <x v="0"/>
    <s v="VALIDACION"/>
    <s v="V_39"/>
    <s v="ALTA"/>
    <s v="Calculo de Nota de Informe para Modelos Historicos"/>
    <s v="Validación"/>
    <s v="Sistema (Automático)"/>
    <s v="V_39_3"/>
    <s v="Si el modelo no es anterior a la fecha indicada, no se rige bajo la formula. Usa formula estándar."/>
    <s v="No"/>
    <s v="2026-05-14"/>
    <x v="0"/>
    <s v="OK"/>
  </r>
  <r>
    <x v="0"/>
    <s v="VALIDACION"/>
    <s v="V_40"/>
    <s v="ALTA"/>
    <s v="Modificacion de Notas de Validacion —Informes Post Mayo 2025"/>
    <s v="Validación"/>
    <s v="Sistema (Automático)"/>
    <s v="V_40_1"/>
    <s v="Las modificaciones realizadas en las notas de validación deben correr para los modelos y metodologías cuyos informes sean posteriores a Mayo 2025."/>
    <s v="No"/>
    <s v="2026-05-28"/>
    <x v="0"/>
    <s v="OK"/>
  </r>
  <r>
    <x v="0"/>
    <s v="VALIDACION"/>
    <s v="V_40"/>
    <s v="ALTA"/>
    <s v="Modificacion de Notas de Validacion —Informes Post Mayo 2025"/>
    <s v="Validación"/>
    <s v="Sistema (Automático)"/>
    <s v="V_40_2"/>
    <s v="Notas de longitud 2, (no se especifica numero de decimales ni rango de notas posible)"/>
    <s v="No"/>
    <s v="2026-05-14"/>
    <x v="0"/>
    <s v="OK"/>
  </r>
  <r>
    <x v="0"/>
    <s v="VALIDACION"/>
    <s v="V_40"/>
    <s v="ALTA"/>
    <s v="Modificacion de Notas de Validacion —Informes Post Mayo 2025"/>
    <s v="Validación"/>
    <s v="Sistema (Automático)"/>
    <s v="V_40_3"/>
    <s v="El sistema registra las modificaciones en el historial de cambios."/>
    <s v="No"/>
    <s v="2026-05-14"/>
    <x v="0"/>
    <s v="OK"/>
  </r>
  <r>
    <x v="0"/>
    <s v="VALIDACION"/>
    <s v="V_40"/>
    <s v="ALTA"/>
    <s v="Modificacion de Notas de Validacion —Informes Post Mayo 2025"/>
    <s v="Validación"/>
    <s v="Sistema (Automático)"/>
    <s v="V_40_4"/>
    <s v="Si el informe es anterior a junio 2025, se deshabilita la edición de notas y el sistema muestra un mensaje: “Las notas de validación no pueden modificarse para informes anteriores a Junio 2025&quot;."/>
    <s v="No"/>
    <s v="2026-05-14"/>
    <x v="1"/>
    <s v="N/A"/>
  </r>
  <r>
    <x v="0"/>
    <s v="VALIDACION"/>
    <s v="V_40"/>
    <s v="ALTA"/>
    <s v="Modificacion de Notas de Validacion —Informes Post Mayo 2025"/>
    <s v="Validación"/>
    <s v="Sistema (Automático)"/>
    <s v="V_40_5"/>
    <s v="Si se intenta guardar modificaciones de notas y ocurre un error en la base de datos, se muestra un mensaje de error. (Flujo alternativo)"/>
    <s v="No"/>
    <s v="2026-05-12"/>
    <x v="1"/>
    <s v="N/A"/>
  </r>
  <r>
    <x v="0"/>
    <s v="VALIDACION"/>
    <s v="V_41"/>
    <s v="ALTA"/>
    <s v="Proteccion de Notas de Validacion —Informes Pre Junio 2025"/>
    <s v="Validación"/>
    <s v="Sistema (Automático)"/>
    <s v="V_41_1"/>
    <s v="Las modificaciones realizadas en las notas de validación no deben poder modificarse para los modelos y metodologías cuyos informes sean anteriores a Junio 2025 (Fecha limite protección: 01/06/2025)."/>
    <s v="No"/>
    <s v="2026-06-30"/>
    <x v="0"/>
    <s v="OK"/>
  </r>
  <r>
    <x v="0"/>
    <s v="VALIDACION"/>
    <s v="V_41"/>
    <s v="ALTA"/>
    <s v="Proteccion de Notas de Validacion —Informes Pre Junio 2025"/>
    <s v="Validación"/>
    <s v="Sistema (Automático)"/>
    <s v="V_41_2"/>
    <s v="El usuario debe poder visualizar las notas pero no poder editarlas."/>
    <s v="No"/>
    <s v="2026-05-14"/>
    <x v="1"/>
    <s v="N/A"/>
  </r>
  <r>
    <x v="0"/>
    <s v="VALIDACION"/>
    <s v="V_41"/>
    <s v="ALTA"/>
    <s v="Proteccion de Notas de Validacion —Informes Pre Junio 2025"/>
    <s v="Validación"/>
    <s v="Sistema (Automático)"/>
    <s v="V_41_3"/>
    <s v="Se muestra un indicador visual de que las notas están protegidas."/>
    <s v="No"/>
    <s v="2026-05-14"/>
    <x v="1"/>
    <s v="N/A"/>
  </r>
  <r>
    <x v="0"/>
    <s v="VALIDACION"/>
    <s v="V_41"/>
    <s v="ALTA"/>
    <s v="Proteccion de Notas de Validacion —Informes Pre Junio 2025"/>
    <s v="Validación"/>
    <s v="Sistema (Automático)"/>
    <s v="V_41_4"/>
    <s v="Si se intenta modificar un campo que el sistema detecta como protegido por la fecha del informe, se muestra un mensaje: “Las notas de este informe están protegidas por fecha”."/>
    <s v="No"/>
    <s v="2026-05-14"/>
    <x v="1"/>
    <s v="N/A"/>
  </r>
  <r>
    <x v="0"/>
    <s v="VALIDACION"/>
    <s v="V_NU_42"/>
    <s v="ALTA"/>
    <s v="Inclusión del campo “Criticidad de Uso” por cada modelo independiente"/>
    <s v="Formulario Informe de Validación"/>
    <s v="Sistema (Automático)"/>
    <s v="V_NU_42_1"/>
    <s v="El usuario al acceder al informe de Validación, debe poder visualizar los N modelos asignados, en donde se desplega el campo “Criticidad de Uso” para cada modelo asignado al formulario de Informe de Validación. Cada modelo debe poder declarar su propia criticidad, asociada al concepto “Materialidad: Criticidad de Uso”."/>
    <s v="No"/>
    <s v="2026-05-12"/>
    <x v="0"/>
    <s v="OK"/>
  </r>
  <r>
    <x v="0"/>
    <s v="VALIDACION"/>
    <s v="V_NU_42"/>
    <s v="ALTA"/>
    <s v="Inclusión del campo “Criticidad de Uso” por cada modelo independiente"/>
    <s v="Formulario Informe de Validación"/>
    <s v="Sistema (Automático)"/>
    <s v="V_NU_42_2"/>
    <s v="El campo Criticidad de Uso es una lista desplegable: Alto, Medio, Bajo, Muy Bajo."/>
    <s v="No"/>
    <s v="2026-05-12"/>
    <x v="0"/>
    <s v="OK"/>
  </r>
  <r>
    <x v="0"/>
    <s v="VALIDACION"/>
    <s v="V_NU_42"/>
    <s v="ALTA"/>
    <s v="Inclusión del campo “Criticidad de Uso” por cada modelo independiente"/>
    <s v="Formulario Informe de Validación"/>
    <s v="Sistema (Automático)"/>
    <s v="V_NU_42_3"/>
    <s v="Si el sistema no encuentra ningún modelo asignado al informe que se quiere editar, se presenta un mensaje informativo no bloqueante indicando que el informe requiere al menos un modelo para registrar criticidad."/>
    <s v="No"/>
    <s v="2026-05-12"/>
    <x v="1"/>
    <s v="N/A"/>
  </r>
  <r>
    <x v="0"/>
    <s v="VALIDACION"/>
    <s v="V_NU_42"/>
    <s v="ALTA"/>
    <s v="Inclusión del campo “Criticidad de Uso” por cada modelo independiente"/>
    <s v="Formulario Informe de Validación"/>
    <s v="Sistema (Automático)"/>
    <s v="V_NU_42_4"/>
    <s v="El usuario solo podrá avanzar en acciones relacionadas con la criticidad (por ejemplo, cálculo de materialidad o envío a aprobación final) una vez que haya asignado al menos un modelo al informe."/>
    <s v="No"/>
    <s v="2026-07-24"/>
    <x v="0"/>
    <s v="OK"/>
  </r>
  <r>
    <x v="0"/>
    <s v="VALIDACION"/>
    <s v="V_NU_43"/>
    <s v="ALTA"/>
    <s v="Implementación de botón/ícono “Eliminar FEV”"/>
    <s v="Validación / FEV – Formulario de Excepción de Validación"/>
    <s v="Administrador"/>
    <s v="V_NU_43_1"/>
    <s v="Si un usuario Administrador abre FEV, al presionar el botón &quot;Eliminar FEV&quot; y confirmar la acción (“¿Está seguro de eliminar el FEV?”), el sistema marca el FEV como eliminado (borrado logico) y registra la auditoría."/>
    <s v="No"/>
    <s v="2026-05-12"/>
    <x v="0"/>
    <s v="OK"/>
  </r>
  <r>
    <x v="0"/>
    <s v="VALIDACION"/>
    <s v="V_NU_43"/>
    <s v="ALTA"/>
    <s v="Implementación de botón/ícono “Eliminar FEV”"/>
    <s v="Validación / FEV – Formulario de Excepción de Validación"/>
    <s v="Administrador"/>
    <s v="V_NU_43_2"/>
    <s v="Tras eliminar el FEV, este no queda visible para otros perfiles que no sean administrador."/>
    <s v="No"/>
    <s v="2026-05-12"/>
    <x v="0"/>
    <s v="OK"/>
  </r>
  <r>
    <x v="0"/>
    <s v="VALIDACION"/>
    <s v="V_NU_43"/>
    <s v="ALTA"/>
    <s v="Implementación de botón/ícono “Eliminar FEV”"/>
    <s v="Validación / FEV – Formulario de Excepción de Validación"/>
    <s v="Administrador"/>
    <s v="V_NU_43_3"/>
    <s v="Si un usuario sin permisos abre FEV, no debe poder visualizar el botón de &quot;Eliminar FEV&quot;"/>
    <s v="No"/>
    <s v="2026-05-12"/>
    <x v="0"/>
    <s v="OK"/>
  </r>
  <r>
    <x v="0"/>
    <s v="VALIDACION"/>
    <s v="V_NU_43"/>
    <s v="ALTA"/>
    <s v="Implementación de botón/ícono “Eliminar FEV”"/>
    <s v="Validación / FEV – Formulario de Excepción de Validación"/>
    <s v="Administrador"/>
    <s v="V_NU_43_4"/>
    <s v="Si un Administrador tras presionar el botón &quot;Eliminar FEV&quot;, al momento de confirmar la acción, presiona &quot;Cancelar&quot;, se cancela la acción y no se elimina."/>
    <s v="No"/>
    <s v="2026-05-12"/>
    <x v="0"/>
    <s v="OK"/>
  </r>
  <r>
    <x v="0"/>
    <s v="VALIDACION"/>
    <s v="V_NU_44"/>
    <s v="BAJA"/>
    <s v="Aumentar longitud y habilitar texto enriquecido en Descripción"/>
    <s v="Vista de Observaciones"/>
    <s v="GRM_VALIDADOR_EJECUTOR, GRM_VALIDADOR_APROBADOR y GRM_ADMINISTRADOR"/>
    <s v="V_NU_44_1"/>
    <s v="Los campos Descripción Inicial y Descripción Final permiten hasta 40000 caracteres y formato texto enriquecido (negritas, subrayado, tablaciones, etc...)."/>
    <s v="No"/>
    <s v="2026-05-12"/>
    <x v="0"/>
    <s v="OK"/>
  </r>
  <r>
    <x v="0"/>
    <s v="VALIDACION"/>
    <s v="V_NU_44"/>
    <s v="BAJA"/>
    <s v="Aumentar longitud y habilitar texto enriquecido en Descripción"/>
    <s v="Vista de Observaciones"/>
    <s v="GRM_VALIDADOR_EJECUTOR, GRM_VALIDADOR_APROBADOR y GRM_ADMINISTRADOR"/>
    <s v="V_NU_44_2"/>
    <s v="Si se intenta ingresar mas caracteres de los permitidos, se muestra alerta: “Campo supera longitud permitida”."/>
    <s v="No"/>
    <s v="2026-05-28"/>
    <x v="0"/>
    <s v="OK"/>
  </r>
  <r>
    <x v="0"/>
    <s v="VALIDACION"/>
    <s v="V_NU_44"/>
    <s v="BAJA"/>
    <s v="Aumentar longitud y habilitar texto enriquecido en Descripción"/>
    <s v="Vista de Observaciones"/>
    <s v="GRM_VALIDADOR_EJECUTOR, GRM_VALIDADOR_APROBADOR y GRM_ADMINISTRADOR"/>
    <s v="V_NU_44_3"/>
    <s v="Si el usuario intenta pegar contenido con formato no permitido, el sistema muestra un mensaje indicando el formato no soportado."/>
    <s v="No"/>
    <s v="2026-05-12"/>
    <x v="0"/>
    <s v="OK"/>
  </r>
  <r>
    <x v="0"/>
    <s v="VALIDACION"/>
    <s v="V_NU_45"/>
    <s v="BAJA"/>
    <s v="Autocompletar Descripción Final desde Descripción Inicial"/>
    <s v="Vista de Observaciones"/>
    <s v="GRM_VALIDADOR_EJECUTOR, GRM_VALIDADOR_APROBADOR, GRM_REVISOR y GRM_ADMINISTRADOR"/>
    <s v="V_NU_45_1"/>
    <s v="Al escribir en Descripción Final, el sistema debe sugerir/autocompletar cuando las primeras palabras coincidan con Descripción Inicial."/>
    <s v="No"/>
    <s v="2026-05-12"/>
    <x v="0"/>
    <s v="OK"/>
  </r>
  <r>
    <x v="0"/>
    <s v="VALIDACION"/>
    <s v="V_NU_45"/>
    <s v="BAJA"/>
    <s v="Autocompletar Descripción Final desde Descripción Inicial"/>
    <s v="Vista de Observaciones"/>
    <s v="GRM_VALIDADOR_EJECUTOR, GRM_VALIDADOR_APROBADOR, GRM_REVISOR y GRM_ADMINISTRADOR"/>
    <s v="V_NU_45_2"/>
    <s v="Se debe poder aceptar o ignorar la sugerencia."/>
    <s v="No"/>
    <s v="2026-05-12"/>
    <x v="0"/>
    <s v="OK"/>
  </r>
  <r>
    <x v="0"/>
    <s v="VALIDACION"/>
    <s v="V_NU_45"/>
    <s v="BAJA"/>
    <s v="Autocompletar Descripción Final desde Descripción Inicial"/>
    <s v="Vista de Observaciones"/>
    <s v="GRM_VALIDADOR_EJECUTOR, GRM_VALIDADOR_APROBADOR, GRM_REVISOR y GRM_ADMINISTRADOR"/>
    <s v="V_NU_45_3"/>
    <s v="Si se excede la longitud máxima de caracteres, (más de 40.000), el sistema resalta el campo en rojo y muestra error: &quot;Longitud máxima excedida (40000 caracteres)&quot;."/>
    <s v="No"/>
    <s v="2026-05-12"/>
    <x v="0"/>
    <s v="OK"/>
  </r>
  <r>
    <x v="0"/>
    <s v="VALIDACION"/>
    <s v="V_NU_46"/>
    <s v="BAJA"/>
    <s v="Reemplazo de “Nota” por Gravedad Inicial y Gravedad Final"/>
    <s v="Vista de Observaciones"/>
    <s v="GRM_VALIDADOR_EJECUTOR, GRM_VALIDADOR_APROBADOR y GRM_ADMINISTRADOR"/>
    <s v="V_NU_46_1"/>
    <s v="Al acceder a una observación, abrir formulario de edición de una observación existente o al crear una nueva, se deben visualizar los campos numéricos: &quot;Gravedad Inicial&quot; y &quot;Gravedad Final&quot; (Antes mostrados como &quot;Nota&quot;)"/>
    <s v="No"/>
    <s v="2026-05-12"/>
    <x v="0"/>
    <s v="OK"/>
  </r>
  <r>
    <x v="0"/>
    <s v="VALIDACION"/>
    <s v="V_NU_46"/>
    <s v="BAJA"/>
    <s v="Reemplazo de “Nota” por Gravedad Inicial y Gravedad Final"/>
    <s v="Vista de Observaciones"/>
    <s v="GRM_VALIDADOR_EJECUTOR, GRM_VALIDADOR_APROBADOR y GRM_ADMINISTRADOR"/>
    <s v="V_NU_46_2"/>
    <s v="Los campos aceptam formato decimal (dos decimales: 1,00). Ambos campos son con rangos entre 1,00 a 5,00."/>
    <s v="No"/>
    <s v="2026-05-12"/>
    <x v="0"/>
    <s v="OK"/>
  </r>
  <r>
    <x v="0"/>
    <s v="VALIDACION"/>
    <s v="V_NU_46"/>
    <s v="BAJA"/>
    <s v="Reemplazo de “Nota” por Gravedad Inicial y Gravedad Final"/>
    <s v="Vista de Observaciones"/>
    <s v="GRM_VALIDADOR_EJECUTOR, GRM_VALIDADOR_APROBADOR y GRM_ADMINISTRADOR"/>
    <s v="V_NU_46_3"/>
    <s v="Al guardar cambios el sistema persiste ambos valores en la base de datos."/>
    <s v="No"/>
    <s v="2026-05-12"/>
    <x v="0"/>
    <s v="OK"/>
  </r>
  <r>
    <x v="0"/>
    <s v="VALIDACION"/>
    <s v="V_NU_46"/>
    <s v="BAJA"/>
    <s v="Reemplazo de “Nota” por Gravedad Inicial y Gravedad Final"/>
    <s v="Vista de Observaciones"/>
    <s v="GRM_VALIDADOR_EJECUTOR, GRM_VALIDADOR_APROBADOR y GRM_ADMINISTRADOR"/>
    <s v="V_NU_46_4"/>
    <s v="Valor fuera de rango:"/>
    <s v="No"/>
    <s v="2026-05-12"/>
    <x v="0"/>
    <s v="OK"/>
  </r>
  <r>
    <x v="0"/>
    <s v="VALIDACION"/>
    <s v="V_NU_47"/>
    <s v="BAJA"/>
    <s v="Relación Observación–Modelo (muchos‑a‑muchos)"/>
    <s v="Vista de Observaciones"/>
    <s v="GRM_VALIDADOR_EJECUTOR, GRM_VALIDADOR_APROBADOR, GRM_REVISOR y GRM_ADMINISTRADOR"/>
    <s v="V_NU_47_1"/>
    <s v="El sistema debe permitir que una observación se vincule a múltiples modelos:"/>
    <s v="No"/>
    <s v="2026-08-11"/>
    <x v="0"/>
    <s v="OK"/>
  </r>
  <r>
    <x v="0"/>
    <s v="VALIDACION"/>
    <s v="V_NU_47"/>
    <s v="BAJA"/>
    <s v="Relación Observación–Modelo (muchos‑a‑muchos)"/>
    <s v="Vista de Observaciones"/>
    <s v="GRM_VALIDADOR_EJECUTOR, GRM_VALIDADOR_APROBADOR, GRM_REVISOR y GRM_ADMINISTRADOR"/>
    <s v="V_NU_47_2"/>
    <s v="Si existe un vínvulo duplicado:"/>
    <s v="No"/>
    <s v="2026-07-24"/>
    <x v="1"/>
    <s v="N/A"/>
  </r>
  <r>
    <x v="0"/>
    <s v="VALIDACION"/>
    <s v="V_NU_48"/>
    <s v="BAJA"/>
    <s v="Campo “Principio&quot;"/>
    <s v="Vista de Observaciones"/>
    <s v="GRM_VALIDADOR_EJECUTOR, GRM_VALIDADOR_APROBADOR, GRM_REVISOR y GRM_ADMINISTRADOR"/>
    <s v="V_NU_48_1"/>
    <s v="Al navegar hasta la vista de observaciones, se debe poder visualizar el campo &quot;Principio&quot; como una lista desplegable, el sistema valida al mantenedor y trae los valores respectivos. Se debe poder elegir entre las opciones P1, P2, P3, P4 y P5."/>
    <s v="No"/>
    <s v="2026-05-12"/>
    <x v="0"/>
    <s v="OK"/>
  </r>
  <r>
    <x v="0"/>
    <s v="VALIDACION"/>
    <s v="V_NU_48"/>
    <s v="BAJA"/>
    <s v="Campo “Principio&quot;"/>
    <s v="Vista de Observaciones"/>
    <s v="GRM_VALIDADOR_EJECUTOR, GRM_VALIDADOR_APROBADOR, GRM_REVISOR y GRM_ADMINISTRADOR"/>
    <s v="V_NU_48_2"/>
    <s v="El campo &quot;Principio es Obligatorio&quot;"/>
    <s v="No"/>
    <s v="2026-05-12"/>
    <x v="0"/>
    <s v="OK"/>
  </r>
  <r>
    <x v="0"/>
    <s v="VALIDACION"/>
    <s v="V_NU_49"/>
    <s v="ALTA"/>
    <s v="Carga Masiva de Informes desde Planilla Excel con Validador"/>
    <s v="Validación / Observaciones"/>
    <s v="GRM_ADMINISTRADOR"/>
    <s v="V_NU_49_1"/>
    <s v="El usuario administrador tras navegar hasta la vista de observaciones del modulo de Validación, hacer clic en botón &quot;Cargar Template Excel&quot;. El sistema muestra la página de carga masiva con el formulario de selección de archivo."/>
    <s v="No"/>
    <s v="2026-08-10"/>
    <x v="0"/>
    <s v="OK"/>
  </r>
  <r>
    <x v="0"/>
    <s v="VALIDACION"/>
    <s v="V_NU_49"/>
    <s v="ALTA"/>
    <s v="Carga Masiva de Informes desde Planilla Excel con Validador"/>
    <s v="Validación / Observaciones"/>
    <s v="GRM_ADMINISTRADOR"/>
    <s v="V_NU_49_2"/>
    <s v="Al cargar un archivo excel, el sistema valida formato (.xlsx) y tamaño del archivo (max. 10 MB) y muestra error si no cumple."/>
    <s v="No"/>
    <s v="2026-08-10"/>
    <x v="0"/>
    <s v="OK"/>
  </r>
  <r>
    <x v="0"/>
    <s v="VALIDACION"/>
    <s v="V_NU_49"/>
    <s v="ALTA"/>
    <s v="Carga Masiva de Informes desde Planilla Excel con Validador"/>
    <s v="Validación / Observaciones"/>
    <s v="GRM_ADMINISTRADOR"/>
    <s v="V_NU_49_3"/>
    <s v="Tras cargar, el sistema actualiza el link de botón “Descargar Formato” y muestra notificación de éxito."/>
    <s v="No"/>
    <s v="2026-08-10"/>
    <x v="0"/>
    <s v="OK"/>
  </r>
  <r>
    <x v="0"/>
    <s v="VALIDACION"/>
    <s v="V_NU_49"/>
    <s v="ALTA"/>
    <s v="Carga Masiva de Informes desde Planilla Excel con Validador"/>
    <s v="Validación / Observaciones"/>
    <s v="GRM_ADMINISTRADOR"/>
    <s v="V_NU_49_4"/>
    <s v="El sistema valida las columnas esperadas en este archivo  (Definidas en nueva plantilla descargable, ver TOBE) Si el archivo que se carga tiene formato inválido, el sistema muestra un mensaje: &quot;El archivo no cumple con el formato esperado.&quot;"/>
    <s v="No"/>
    <s v="2026-08-10"/>
    <x v="0"/>
    <s v="OK"/>
  </r>
  <r>
    <x v="0"/>
    <s v="VALIDACION"/>
    <s v="V_NU_50"/>
    <s v="BAJA"/>
    <s v="Campo &quot;Porc. Prueba&quot;"/>
    <s v="Validación"/>
    <s v="Usuario Validador, Administrador"/>
    <s v="V_NU_50_1"/>
    <s v="Usuario Validador o administrador, al navegar hasta la pantalla de edición del registro, al ubicarse en el campo &quot;Porc. Prueba&quot; debe poder ingresar un valor numérico entre 0 y 100."/>
    <s v="No"/>
    <s v="2026-05-20"/>
    <x v="0"/>
    <s v="OK"/>
  </r>
  <r>
    <x v="0"/>
    <s v="VALIDACION"/>
    <s v="V_NU_50"/>
    <s v="BAJA"/>
    <s v="El sistema debe permitir registrar un valor numérico de porcentaje de prueba asociado al registro . El valor debe estar entre 0 y 100. Si el campo se deja vacío, se considera como valor nulo."/>
    <s v="Validación"/>
    <s v="Usuario Validador, Administrador"/>
    <s v="V_NU_50_2"/>
    <s v="Si se ingresa un valor dentro del rango, se guardan los cambios y el sistema persiste el valor en la base de datos."/>
    <s v="No"/>
    <s v="2026-05-12"/>
    <x v="0"/>
    <s v="OK"/>
  </r>
  <r>
    <x v="0"/>
    <s v="VALIDACION"/>
    <s v="V_NU_50"/>
    <s v="BAJA"/>
    <s v="El sistema debe permitir registrar un valor numérico de porcentaje de prueba asociado al registro . El valor debe estar entre 0 y 100. Si el campo se deja vacío, se considera como valor nulo."/>
    <s v="Validación"/>
    <s v="Usuario Validador, Administrador"/>
    <s v="V_NU_50_3"/>
    <s v="Si el campo queda en blanco el sistema debe permitir guardar sin errores, y el valor queda guardado en base de datos como NULL."/>
    <s v="No"/>
    <s v="2026-05-12"/>
    <x v="1"/>
    <s v="N/A"/>
  </r>
  <r>
    <x v="0"/>
    <s v="VALIDACION"/>
    <s v="V_NU_50"/>
    <s v="BAJA"/>
    <s v="El sistema debe permitir registrar un valor numérico de porcentaje de prueba asociado al registro . El valor debe estar entre 0 y 100. Si el campo se deja vacío, se considera como valor nulo."/>
    <s v="Validación"/>
    <s v="Usuario Validador, Administrador"/>
    <s v="V_NU_50_4"/>
    <s v="Si se ingresa un valor fuera de rango se muestra un mensaje de alerta: 'El porcentaje de prueba debe estar entre 0 y 100'. Se impide guardar hasta corregir el valor."/>
    <s v="No"/>
    <s v="2026-05-12"/>
    <x v="0"/>
    <s v="OK"/>
  </r>
  <r>
    <x v="0"/>
    <s v="VALIDACION"/>
    <s v="V_NU_50"/>
    <s v="BAJA"/>
    <s v="El sistema debe permitir registrar un valor numérico de porcentaje de prueba asociado al registro . El valor debe estar entre 0 y 100. Si el campo se deja vacío, se considera como valor nulo."/>
    <s v="Validación"/>
    <s v="Usuario Validador, Administrador"/>
    <s v="V_NU_50_5"/>
    <s v="Si se ingresa un valor No numérico, el sistema limita el ingreso y muestra alerta: 'Solo se permiten valores numéricos'."/>
    <s v="No"/>
    <s v="2026-05-12"/>
    <x v="0"/>
    <s v="OK"/>
  </r>
  <r>
    <x v="1"/>
    <s v="Seguimiento y Control"/>
    <s v="SC_1"/>
    <s v="Alto"/>
    <s v="CAMBIO DE NOMBRE DEL MÓDULO"/>
    <s v="Seguimiento y Control"/>
    <s v="Sistema (Automático)"/>
    <s v="SC_1.1"/>
    <s v="En el menú principal de navegación se puede visualizar el elemento denominado &quot;Seguimiento y Control&quot; en lugar de &quot;Obs. Performance&quot;. Al hacer click se carga la página principal de este módulo."/>
    <s v="No"/>
    <s v="2026-05-28"/>
    <x v="0"/>
    <s v="OK"/>
  </r>
  <r>
    <x v="1"/>
    <s v="Seguimiento y Control"/>
    <s v="SC_2"/>
    <s v="Alto"/>
    <s v="CONFIGURACIÓN DE TRES PESTAÑAS FUNCIONALES"/>
    <s v="Seguimiento y Control"/>
    <s v="GRM_IMPLEM_EJECUTOR"/>
    <s v="SC_2.1"/>
    <s v="Dentro del Módulo de Seguimiento y Control se muestran 3 pestañas,"/>
    <s v="No"/>
    <s v="2026-05-28"/>
    <x v="0"/>
    <s v="OK"/>
  </r>
  <r>
    <x v="1"/>
    <s v="Seguimiento y Control"/>
    <s v="SC_2"/>
    <s v="Alto"/>
    <s v="CONFIGURACIÓN DE TRES PESTAÑAS FUNCIONALES"/>
    <s v="Seguimiento y Control"/>
    <s v="GRM_IMPLEM_EJECUTOR"/>
    <s v="SC_2.2"/>
    <s v="Al seleccionar cada pestaña, el contenido es mostrado sin necesidad de recargar la página, manteniendo el estado de los datos ingresados."/>
    <s v="No"/>
    <s v="2026-05-28"/>
    <x v="0"/>
    <s v="OK"/>
  </r>
  <r>
    <x v="1"/>
    <s v="Seguimiento y Control"/>
    <s v="SC_2"/>
    <s v="Alto"/>
    <s v="CONFIGURACIÓN DE TRES PESTAÑAS FUNCIONALES"/>
    <s v="Seguimiento y Control"/>
    <s v="GRM_IMPLEM_EJECUTOR"/>
    <s v="SC_2.4"/>
    <s v="Si el modelo pasa a Caducidad, no se deben visualizar Registros de Control"/>
    <s v="No"/>
    <s v="2026-07-30"/>
    <x v="0"/>
    <s v="OK"/>
  </r>
  <r>
    <x v="1"/>
    <s v="Seguimiento y Control"/>
    <s v="SC_2"/>
    <s v="Alto"/>
    <s v="CONFIGURACIÓN DE TRES PESTAÑAS FUNCIONALES"/>
    <s v="Seguimiento y Control"/>
    <s v="GRM_IMPLEM_EJECUTOR"/>
    <s v="SC_2.5"/>
    <s v="Si se desactiva la etapa &quot;En uso&quot;, no se deben visualizar Registros de Control"/>
    <s v="No"/>
    <s v="2026-05-29"/>
    <x v="3"/>
    <s v="POST"/>
  </r>
  <r>
    <x v="1"/>
    <s v="Seguimiento y Control"/>
    <s v="SC_3"/>
    <s v="Alto"/>
    <s v="REGISTRO AUTOMÁTICO DE CONTROL:"/>
    <s v="Seguimiento y Control"/>
    <s v="Sistema (Automático)"/>
    <s v="SC_3.1"/>
    <s v="Si un usuario con rol de aprobador (GRM_REVISOR) al cambiar la etapa de un modelo a &quot;En Uso&quot; en el ciclo de vida del modelo, el sistema debe crear un nuevo registro de control en la pestaña correspondiente."/>
    <s v="No"/>
    <s v="2026-08-04"/>
    <x v="4"/>
    <s v="NOOK"/>
  </r>
  <r>
    <x v="1"/>
    <s v="Seguimiento y Control"/>
    <s v="SC_3"/>
    <s v="Alto"/>
    <s v="REGISTRO AUTOMÁTICO DE CONTROL:"/>
    <s v="Seguimiento y Control"/>
    <s v="Sistema (Automático)"/>
    <s v="SC_3.2"/>
    <s v="El sistema registra en auditoría la creación automática con fecha y usuario del sistema."/>
    <s v="No"/>
    <s v="2026-08-07"/>
    <x v="0"/>
    <s v="OK"/>
  </r>
  <r>
    <x v="1"/>
    <s v="Seguimiento y Control"/>
    <s v="SC_3"/>
    <s v="Alto"/>
    <s v="REGISTRO AUTOMÁTICO DE CONTROL:"/>
    <s v="Seguimiento y Control"/>
    <s v="Sistema (Automático)"/>
    <s v="SC_3.3"/>
    <s v="Cada modelo en etapa En Uso tiene un registro de control creado automáticamente. Este registro aparece visible en la pestaña Control. Cada registro contiene los datos básicos del modelo."/>
    <s v="No"/>
    <s v="2026-07-31"/>
    <x v="0"/>
    <s v="OK"/>
  </r>
  <r>
    <x v="1"/>
    <s v="Seguimiento y Control"/>
    <s v="SC_3"/>
    <s v="Alto"/>
    <s v="REGISTRO AUTOMÁTICO DE CONTROL:"/>
    <s v="Seguimiento y Control"/>
    <s v="Sistema (Automático)"/>
    <s v="SC_3.4"/>
    <s v="Al ingresar a la sección de Controles, se muestra la grilla con los siguientes campos:"/>
    <s v="No"/>
    <s v="2026-05-28"/>
    <x v="0"/>
    <s v="OK"/>
  </r>
  <r>
    <x v="1"/>
    <s v="Seguimiento y Control"/>
    <s v="SC_3"/>
    <s v="Alto"/>
    <s v="REGISTRO AUTOMÁTICO DE CONTROL:"/>
    <s v="Seguimiento y Control"/>
    <s v="Sistema (Automático)"/>
    <s v="SC_3.5"/>
    <s v="Todos los Modelos de Riesgo de Crédito (TIPO Modelo y Familia Riesgo CREDITO) serán derivados automáticamente a “Seguimiento” y el resto será destinado a “Controles” (TIPO Metodología y Familia Riesgo CREDITO / TIPO Modelo/ Metodología y otra familia )."/>
    <s v="No"/>
    <s v="2026-05-28"/>
    <x v="1"/>
    <s v="N/A"/>
  </r>
  <r>
    <x v="1"/>
    <s v="Seguimiento y Control"/>
    <s v="SC_3"/>
    <s v="Alto"/>
    <s v="REGISTRO AUTOMÁTICO DE CONTROL:"/>
    <s v="Seguimiento y Control"/>
    <s v="Sistema (Automático)"/>
    <s v="SC_3.6"/>
    <s v="Cuando el modelo pasa a Caducidad se “oculta” el Modelo. También se “oculta” cuando se desactiva la etapa “En Uso” y vuelve a “mostrarse cuando se reactiva la etapa “En Uso”."/>
    <s v="No"/>
    <s v="2026-08-04"/>
    <x v="0"/>
    <s v="OK"/>
  </r>
  <r>
    <x v="1"/>
    <s v="Seguimiento y Control"/>
    <s v="SC_3"/>
    <s v="Alto"/>
    <s v="REGISTRO AUTOMÁTICO DE CONTROL:"/>
    <s v="Seguimiento y Control"/>
    <s v="Sistema (Automático)"/>
    <s v="SC_3.7"/>
    <s v="Todos los modelos deben tener su seguimiento y control respectivos."/>
    <s v="Si"/>
    <m/>
    <x v="4"/>
    <s v="NOOK"/>
  </r>
  <r>
    <x v="1"/>
    <s v="Seguimiento y Control"/>
    <s v="SC_4"/>
    <s v="Alto"/>
    <s v="NOTIFICACIÓN POR CORREO AL INGRESAR MODELO"/>
    <s v="Seguimiento y Control"/>
    <s v="Sistema (Automático)"/>
    <s v="SC_4.1"/>
    <s v="Al entrar el modelo En Uso por primera vez, se debe informar al responsable de seguimiento para identificar si está dentro de su Alcance a través de correo electrónico a la casilla del área."/>
    <s v="No"/>
    <m/>
    <x v="0"/>
    <s v="OK"/>
  </r>
  <r>
    <x v="1"/>
    <s v="Seguimiento y Control"/>
    <s v="SC_4"/>
    <s v="Alto"/>
    <s v="NOTIFICACIÓN POR CORREO AL INGRESAR MODELO"/>
    <s v="Seguimiento y Control"/>
    <s v="Sistema (Automático)"/>
    <s v="SC_4.2"/>
    <s v="El destinatario (Responsable de seguimiento) Recibe el correo"/>
    <s v="No"/>
    <m/>
    <x v="0"/>
    <s v="OK"/>
  </r>
  <r>
    <x v="1"/>
    <s v="Seguimiento y Control"/>
    <s v="SC_4"/>
    <s v="Alto"/>
    <s v="NOTIFICACIÓN POR CORREO AL INGRESAR MODELO"/>
    <s v="Seguimiento y Control"/>
    <s v="Sistema (Automático)"/>
    <s v="SC_4.3"/>
    <s v="El correo enviado sigue el formato descrito en el documento TOBE:"/>
    <s v="No"/>
    <m/>
    <x v="0"/>
    <s v="OK"/>
  </r>
  <r>
    <x v="1"/>
    <s v="Seguimiento y Control"/>
    <s v="SC_5"/>
    <s v="Alto"/>
    <s v="MANTENEDOR DE CORREO DEL ÁREA DE SEGUIMIENTO:"/>
    <s v="Seguimiento y Control"/>
    <s v="GRM_ADMINISTRADOR"/>
    <s v="SC_5.1"/>
    <s v="Al acceder al menú de configuración de los mantenedores, en &quot;Mantenedor de correos de Area de seguimiento&quot;, el sistema muestra una lista de correos configurados con su estado (Activo/Inactivo), junto con su información adicional."/>
    <s v="No"/>
    <s v="2026-05-29"/>
    <x v="0"/>
    <s v="OK"/>
  </r>
  <r>
    <x v="1"/>
    <s v="Seguimiento y Control"/>
    <s v="SC_5"/>
    <s v="Alto"/>
    <s v="MANTENEDOR DE CORREO DEL ÁREA DE SEGUIMIENTO:"/>
    <s v="Seguimiento y Control"/>
    <s v="GRM_ADMINISTRADOR"/>
    <s v="SC_5.2"/>
    <s v="Usuarios sin el rol requerido, no deben tener permitida la visualización del módulo."/>
    <s v="No"/>
    <s v="2026-07-24"/>
    <x v="0"/>
    <s v="OK"/>
  </r>
  <r>
    <x v="1"/>
    <s v="Seguimiento y Control"/>
    <s v="SC_5"/>
    <s v="Alto"/>
    <s v="MANTENEDOR DE CORREO DEL ÁREA DE SEGUIMIENTO:"/>
    <s v="Seguimiento y Control"/>
    <s v="GRM_ADMINISTRADOR"/>
    <s v="SC_5.3"/>
    <s v="En mantenedor se debe poder agregar nuevos correos, editar los existentes o activar/desactivar registros. (GRM_ADMINISTRADOR debe poder realizar todas las operaciones (agregar/editar/eliminar))"/>
    <s v="No"/>
    <s v="2026-05-29"/>
    <x v="0"/>
    <s v="OK"/>
  </r>
  <r>
    <x v="1"/>
    <s v="Seguimiento y Control"/>
    <s v="SC_5"/>
    <s v="Alto"/>
    <s v="MANTENEDOR DE CORREO DEL ÁREA DE SEGUIMIENTO:"/>
    <s v="Seguimiento y Control"/>
    <s v="GRM_ADMINISTRADOR"/>
    <s v="SC_5.4"/>
    <s v="El sistema muestra las siguientes Alertas:"/>
    <s v="No"/>
    <s v="2026-05-29"/>
    <x v="0"/>
    <s v="OK"/>
  </r>
  <r>
    <x v="1"/>
    <s v="Seguimiento y Control"/>
    <s v="SC_6"/>
    <s v="Alto"/>
    <s v="CAMBIOS A TABLA T_OBS_PERF:"/>
    <s v="Seguimiento y Control /Control"/>
    <s v="Sistema (Automático)"/>
    <s v="SC_6.1"/>
    <s v="Cambios realizados por los usuarios en la tabla T_OBS_PERF, serán mostrados en la grilla sólo si los  los registros se encuentran en estado Activos y En uso."/>
    <s v="No"/>
    <s v="2026-08-07"/>
    <x v="3"/>
    <s v="POST"/>
  </r>
  <r>
    <x v="1"/>
    <s v="Seguimiento y Control"/>
    <s v="SC_7"/>
    <s v="Alto"/>
    <s v="CONFIGURACIÓN DE PESTAÑA CONTROL:"/>
    <s v="Seguimiento y Control /Control"/>
    <s v="GRM_RESPO_SEG_EJECUTOR,"/>
    <s v="SC_7.1"/>
    <s v="Al ingresar a la ventana de inicio de la pestaña Controles, se tiene una tabla con las siguientes columnas:"/>
    <s v="No"/>
    <s v="2026-08-07"/>
    <x v="0"/>
    <s v="OK"/>
  </r>
  <r>
    <x v="1"/>
    <s v="Seguimiento y Control"/>
    <s v="SC_7"/>
    <s v="Alto"/>
    <s v="CONFIGURACIÓN DE PESTAÑA CONTROL:"/>
    <s v="Seguimiento y Control /Control"/>
    <s v="GRM_RESPO_SEG_EJECUTOR,"/>
    <s v="SC_7.2"/>
    <s v="Todos los campos de la Cabecera son Solo Lectura (Excepto el botón Enviar a Seguimiento)"/>
    <s v="No"/>
    <s v="2026-06-03"/>
    <x v="0"/>
    <s v="OK"/>
  </r>
  <r>
    <x v="1"/>
    <s v="Seguimiento y Control"/>
    <s v="SC_8"/>
    <s v="Alto"/>
    <s v="Carga masiva desde Excel:"/>
    <s v="Seguimiento y Control / Control"/>
    <s v="GRM_RESPO_SEG_EJECUTOR, GRM_RESPO_SEG_APROBADOR, GRM_REVISOR, GRM_ADMINISTRADOR"/>
    <s v="SC_8.1"/>
    <s v="En la pestaña de Controles, se muestra botón de &quot;Carga Información&quot;, que deberá llamar a la funcionalidad de carga de observaciones desde una plantilla excel."/>
    <s v="No"/>
    <s v="2026-08-07"/>
    <x v="0"/>
    <s v="OK"/>
  </r>
  <r>
    <x v="1"/>
    <s v="Seguimiento y Control"/>
    <s v="SC_8"/>
    <s v="Alto"/>
    <s v="Carga masiva desde Excel:"/>
    <s v="Seguimiento y Control / Control"/>
    <s v="GRM_RESPO_SEG_EJECUTOR, GRM_RESPO_SEG_APROBADOR, GRM_REVISOR, GRM_ADMINISTRADOR"/>
    <s v="SC_8.2"/>
    <s v="Al presionar el botón de Cargar Información, el sistema despliega un diálogo en donde el usuario puede buscar y seleccionar el archivo Excel con la plantilla que quiera subir."/>
    <s v="No"/>
    <s v="2026-08-04"/>
    <x v="0"/>
    <s v="OK"/>
  </r>
  <r>
    <x v="1"/>
    <s v="Seguimiento y Control"/>
    <s v="SC_8"/>
    <s v="Alto"/>
    <s v="Carga masiva desde Excel:"/>
    <s v="Seguimiento y Control / Control"/>
    <s v="GRM_RESPO_SEG_EJECUTOR, GRM_RESPO_SEG_APROBADOR, GRM_REVISOR, GRM_ADMINISTRADOR"/>
    <s v="SC_8.3"/>
    <s v="El sistema debe validar que el archivo tenga la extensión correcta (.xlsx o .xls). En caso contrario muestra una alerta."/>
    <s v="No"/>
    <s v="2026-08-04"/>
    <x v="0"/>
    <s v="OK"/>
  </r>
  <r>
    <x v="1"/>
    <s v="Seguimiento y Control"/>
    <s v="SC_8"/>
    <s v="Alto"/>
    <s v="Carga masiva desde Excel:"/>
    <s v="Seguimiento y Control / Control"/>
    <s v="GRM_RESPO_SEG_EJECUTOR, GRM_RESPO_SEG_APROBADOR, GRM_REVISOR, GRM_ADMINISTRADOR"/>
    <s v="SC_8.4"/>
    <s v="El sistema debe validar que el tamaño del archivo no exceda los 10 MB. En caso contrario muestra una alerta."/>
    <s v="No"/>
    <s v="2026-08-04"/>
    <x v="2"/>
    <s v="OBS"/>
  </r>
  <r>
    <x v="1"/>
    <s v="Seguimiento y Control"/>
    <s v="SC_8"/>
    <s v="Alto"/>
    <s v="Carga masiva desde Excel:"/>
    <s v="Seguimiento y Control / Control"/>
    <s v="GRM_RESPO_SEG_EJECUTOR, GRM_RESPO_SEG_APROBADOR, GRM_REVISOR, GRM_ADMINISTRADOR"/>
    <s v="SC_8.5"/>
    <s v="El sistema muestra las siguientes Alertas:"/>
    <s v="No"/>
    <s v="2026-08-07"/>
    <x v="0"/>
    <s v="OK"/>
  </r>
  <r>
    <x v="1"/>
    <s v="Seguimiento y Control"/>
    <s v="SC_8"/>
    <s v="Alto"/>
    <s v="Carga masiva desde Excel:"/>
    <s v="Seguimiento y Control / Control"/>
    <s v="GRM_RESPO_SEG_EJECUTOR, GRM_RESPO_SEG_APROBADOR, GRM_REVISOR, GRM_ADMINISTRADOR"/>
    <s v="SC_8.6"/>
    <s v="Dentro de la plantilla que se sube, se deben tener las mismas columnas para los modelos y cargarlos todos de forma masiva si fuera necesario usar esta modalidad."/>
    <s v="No"/>
    <s v="2026-08-07"/>
    <x v="3"/>
    <s v="POST"/>
  </r>
  <r>
    <x v="1"/>
    <s v="Seguimiento y Control"/>
    <s v="SC_9"/>
    <s v="Medio"/>
    <s v="Mantenedor de plantillas de carga:"/>
    <s v="Seguimiento y Control / Control"/>
    <s v="GRM_ADMINISTRADOR"/>
    <s v="SC_9.1"/>
    <s v="En la vista de Control debe existir un botón &quot;Cargar Template Excel&quot; visible unicamente para el rol Administrador."/>
    <s v="No"/>
    <s v="2026-08-07"/>
    <x v="0"/>
    <s v="OK"/>
  </r>
  <r>
    <x v="1"/>
    <s v="Seguimiento y Control"/>
    <s v="SC_9"/>
    <s v="Medio"/>
    <s v="Mantenedor de plantillas de carga:"/>
    <s v="Seguimiento y Control / Control"/>
    <s v="GRM_ADMINISTRADOR"/>
    <s v="SC_9.2"/>
    <s v="El botón de permitir la carga de la Plantilla Excel, la cual los demás usuarios podrán descargar posteriormente para la carga masiva de observaciones."/>
    <s v="No"/>
    <s v="2026-08-07"/>
    <x v="0"/>
    <s v="OK"/>
  </r>
  <r>
    <x v="1"/>
    <s v="Seguimiento y Control"/>
    <s v="SC_9"/>
    <s v="Medio"/>
    <s v="Mantenedor de plantillas de carga:"/>
    <s v="Seguimiento y Control / Control"/>
    <s v="GRM_ADMINISTRADOR"/>
    <s v="SC_9.3"/>
    <s v="Usuarios con otro rol no deben poder visualizar el botón."/>
    <s v="No"/>
    <s v="2026-08-07"/>
    <x v="0"/>
    <s v="OK"/>
  </r>
  <r>
    <x v="1"/>
    <s v="Seguimiento y Control"/>
    <s v="SC_9"/>
    <s v="Medio"/>
    <s v="Mantenedor de plantillas de carga:"/>
    <s v="Seguimiento y Control / Control"/>
    <s v="GRM_ADMINISTRADOR"/>
    <s v="SC_9.4"/>
    <s v="El sistema debe validar el formato (Excel) y el tamaño máximo del archivo (10 MB)."/>
    <s v="No"/>
    <s v="2026-08-07"/>
    <x v="0"/>
    <s v="OK"/>
  </r>
  <r>
    <x v="1"/>
    <s v="Seguimiento y Control"/>
    <s v="SC_9"/>
    <s v="Medio"/>
    <s v="Mantenedor de plantillas de carga:"/>
    <s v="Seguimiento y Control / Control"/>
    <s v="GRM_ADMINISTRADOR"/>
    <s v="SC_9.5"/>
    <s v="El sistema muestra las siguientes Alertas:"/>
    <s v="No"/>
    <s v="2026-08-07"/>
    <x v="0"/>
    <s v="OK"/>
  </r>
  <r>
    <x v="1"/>
    <s v="Seguimiento y Control"/>
    <s v="SC_10"/>
    <s v="Alto"/>
    <s v="FORMULARIO DE CABECERA DE CONTROL:"/>
    <s v="Seguimiento y Control / Control"/>
    <s v="GRM_RESPO_SEG_APROBADOR, GRM_REVISOR, GRM_ADMINISTRADOR"/>
    <s v="SC_10.1"/>
    <s v="En la pestaña Controles, se muestran los siguientes campos en la cabecera de la pestaña:"/>
    <s v="No"/>
    <s v="2026-07-21"/>
    <x v="0"/>
    <s v="OK"/>
  </r>
  <r>
    <x v="1"/>
    <s v="Seguimiento y Control"/>
    <s v="SC_10"/>
    <s v="Alto"/>
    <s v="FORMULARIO DE CABECERA DE CONTROL:"/>
    <s v="Seguimiento y Control / Control"/>
    <s v="GRM_RESPO_SEG_APROBADOR, GRM_REVISOR, GRM_ADMINISTRADOR"/>
    <s v="SC_10.2"/>
    <s v="El botón Agregar Registro abre un modal/formulario para agregar un nuevo registro de control."/>
    <s v="No"/>
    <s v="2026-06-01"/>
    <x v="0"/>
    <s v="OK"/>
  </r>
  <r>
    <x v="1"/>
    <s v="Seguimiento y Control"/>
    <s v="SC_10"/>
    <s v="Alto"/>
    <s v="FORMULARIO DE CABECERA DE CONTROL:"/>
    <s v="Seguimiento y Control / Control"/>
    <s v="GRM_RESPO_SEG_APROBADOR, GRM_REVISOR, GRM_ADMINISTRADOR"/>
    <s v="SC_10.3"/>
    <s v="Todos los campos son sólo lectura, excepto el Switch Responsable de Seguimiento"/>
    <s v="No"/>
    <s v="2026-07-21"/>
    <x v="0"/>
    <s v="OK"/>
  </r>
  <r>
    <x v="1"/>
    <s v="Seguimiento y Control"/>
    <s v="SC_11"/>
    <s v="Alto"/>
    <s v="CAMPO FECHA ÚLTIMO CONTROL:"/>
    <s v="Seguimiento y Control / Control"/>
    <s v="Sistema (Automático)"/>
    <s v="SC_11.1"/>
    <s v="En la pestaña de Controles, el campo Fecha Último Control es un campo no  editable, sólo de lectura. Si no existe información en registro consolidado, la fecha de último control es la fecha de Ingreso a estado &quot;en Uso&quot;."/>
    <s v="No"/>
    <s v="2026-06-01"/>
    <x v="0"/>
    <s v="OK"/>
  </r>
  <r>
    <x v="1"/>
    <s v="Seguimiento y Control"/>
    <s v="SC_11"/>
    <s v="Alto"/>
    <s v="CAMPO FECHA ÚLTIMO CONTROL:"/>
    <s v="Seguimiento y Control / Control"/>
    <s v="Sistema (Automático)"/>
    <s v="SC_11.2"/>
    <s v="Formato de fecha: La fecha presentada debe cumplir con el formato de visualización definido (DD/MM/YYYY)."/>
    <s v="No"/>
    <s v="2026-08-04"/>
    <x v="0"/>
    <s v="OK"/>
  </r>
  <r>
    <x v="1"/>
    <s v="Seguimiento y Control"/>
    <s v="SC_12"/>
    <s v="Alto"/>
    <s v="CAMPO FECHA PRÓXIMA REVISIÓN:"/>
    <s v="Seguimiento y Control / Control"/>
    <s v="Sistema(Automático), GRM_ADMINISTRADOR"/>
    <s v="SC_12.1"/>
    <s v="El usuario al acceder al menú de Mantenedores, se debe poder acceder al mantenedor de de fechas oficiales de próximo control."/>
    <s v="No"/>
    <s v="2026-07-24"/>
    <x v="0"/>
    <s v="OK"/>
  </r>
  <r>
    <x v="1"/>
    <s v="Seguimiento y Control"/>
    <s v="SC_12"/>
    <s v="Alto"/>
    <s v="CAMPO FECHA PRÓXIMA REVISIÓN:"/>
    <s v="Seguimiento y Control / Control"/>
    <s v="Sistema(Automático), GRM_ADMINISTRADOR"/>
    <s v="SC_12.2"/>
    <s v="Tras ingresar a la página, se visualiza un botón &quot;Nuevo&quot;, el cual despliega un formulario para agregar un nuevo registro."/>
    <s v="No"/>
    <s v="2026-08-04"/>
    <x v="2"/>
    <s v="OBS"/>
  </r>
  <r>
    <x v="1"/>
    <s v="Seguimiento y Control"/>
    <s v="SC_12"/>
    <s v="Alto"/>
    <s v="CAMPO FECHA PRÓXIMA REVISIÓN:"/>
    <s v="Seguimiento y Control / Control"/>
    <s v="Sistema(Automático), GRM_ADMINISTRADOR"/>
    <s v="SC_12.3"/>
    <s v="Se puede completar el formulario con los datos requeridos, y al presionar guardar, se validan los cambios y se muestra un mensaje de Éxito: “Fecha de próximo control guardada correctamente.”"/>
    <s v="No"/>
    <s v="2026-07-21"/>
    <x v="0"/>
    <s v="OK"/>
  </r>
  <r>
    <x v="1"/>
    <s v="Seguimiento y Control"/>
    <s v="SC_12"/>
    <s v="Alto"/>
    <s v="CAMPO FECHA PRÓXIMA REVISIÓN:"/>
    <s v="Seguimiento y Control / Control"/>
    <s v="Sistema(Automático), GRM_ADMINISTRADOR"/>
    <s v="SC_12.4"/>
    <s v="El sistema no debe permitir visualización de este módulo a usuarios sin permisos."/>
    <s v="No"/>
    <s v="2026-07-21"/>
    <x v="0"/>
    <s v="OK"/>
  </r>
  <r>
    <x v="1"/>
    <s v="Seguimiento y Control"/>
    <s v="SC_12"/>
    <s v="Alto"/>
    <s v="CAMPO FECHA PRÓXIMA REVISIÓN:"/>
    <s v="Seguimiento y Control / Control"/>
    <s v="Sistema(Automático), GRM_ADMINISTRADOR"/>
    <s v="SC_12.5"/>
    <s v="Si se intenta agregar un registro duplicado, el sistema muestra mensaje “Ya existe un registro activo con estos datos”."/>
    <s v="No"/>
    <s v="2026-07-21"/>
    <x v="0"/>
    <s v="OK"/>
  </r>
  <r>
    <x v="1"/>
    <s v="Seguimiento y Control"/>
    <s v="SC_13"/>
    <s v="Alto"/>
    <s v="SWITCH RESPONSABLE DE SEGUIMIENTO"/>
    <s v="Seguimiento y Control / Control"/>
    <s v="GRM_REVISOR, GRM_ADMINISTRADOR"/>
    <s v="SC_13.1"/>
    <s v="El usuario GRM_REVISOR o GRM_ADMINISTRADOR al acceder al detalle de un modelo en la pestaña Controles, puede ver el estado del switch “Responsable de Seguimiento” en estado OFF, indicando que el modelo permanece en la pestaña Controles."/>
    <s v="No"/>
    <s v="2026-07-21"/>
    <x v="2"/>
    <s v="OBS"/>
  </r>
  <r>
    <x v="1"/>
    <s v="Seguimiento y Control"/>
    <s v="SC_13"/>
    <s v="Alto"/>
    <s v="SWITCH RESPONSABLE DE SEGUIMIENTO"/>
    <s v="Seguimiento y Control / Control"/>
    <s v="GRM_REVISOR, GRM_ADMINISTRADOR"/>
    <s v="SC_13.2"/>
    <s v="En el caso que se active el switch, el modelo sale de la pestaña &quot;Controles&quot; y pasa a la pestaña &quot;Seguimiento&quot; y queda apagado en &quot;Controles&quot;."/>
    <s v="No"/>
    <s v="2026-07-30"/>
    <x v="0"/>
    <s v="OK"/>
  </r>
  <r>
    <x v="1"/>
    <s v="Seguimiento y Control"/>
    <s v="SC_13"/>
    <s v="Alto"/>
    <s v="SWITCH RESPONSABLE DE SEGUIMIENTO"/>
    <s v="Seguimiento y Control / Control"/>
    <s v="GRM_REVISOR, GRM_ADMINISTRADOR"/>
    <s v="SC_13.3"/>
    <s v="Luego de activar el switch, se ejecuta el proceso ASIGNAR_RESPONSABLE, se actualiza el estado del modelo, genera el registro correspondiente en la pestaña destino y conserva la Fecha Próximo Control ya asignada."/>
    <s v="No"/>
    <s v="2026-07-21"/>
    <x v="0"/>
    <s v="OK"/>
  </r>
  <r>
    <x v="1"/>
    <s v="Seguimiento y Control"/>
    <s v="SC_13"/>
    <s v="Alto"/>
    <s v="SWITCH RESPONSABLE DE SEGUIMIENTO"/>
    <s v="Seguimiento y Control / Control"/>
    <s v="GRM_REVISOR, GRM_ADMINISTRADOR"/>
    <s v="SC_13.4"/>
    <s v="Cuando el switch se mueve de estado ON / OFF, debe generar un nuevo registro en Seguimiento o Control, según corresponda. Manteniendo Fechas."/>
    <s v="No"/>
    <s v="2026-07-21"/>
    <x v="0"/>
    <s v="OK"/>
  </r>
  <r>
    <x v="1"/>
    <s v="Seguimiento y Control"/>
    <s v="SC_13"/>
    <s v="Alto"/>
    <s v="SWITCH RESPONSABLE DE SEGUIMIENTO"/>
    <s v="Seguimiento y Control / Control"/>
    <s v="GRM_REVISOR, GRM_ADMINISTRADOR"/>
    <s v="SC_13.5"/>
    <s v="Usuarios sin permisos no deben moder activar/desactivar el switch."/>
    <s v="No"/>
    <s v="2026-07-30"/>
    <x v="0"/>
    <s v="OK"/>
  </r>
  <r>
    <x v="1"/>
    <s v="Seguimiento y Control"/>
    <s v="SC_13"/>
    <s v="Alto"/>
    <s v="SWITCH RESPONSABLE DE SEGUIMIENTO"/>
    <s v="Seguimiento y Control / Control"/>
    <s v="GRM_REVISOR, GRM_ADMINISTRADOR"/>
    <s v="SC_13.6"/>
    <s v="La cantidad de registros de control y seguimiento depende de la cantidad de exposiciones que tenga el modelo (Registrado en Etapa de Desarrollo)"/>
    <s v="Si"/>
    <s v="2026-07-21"/>
    <x v="0"/>
    <s v="OK"/>
  </r>
  <r>
    <x v="1"/>
    <s v="Seguimiento y Control"/>
    <s v="SC_14"/>
    <s v="Alto"/>
    <s v="CAMPO RIESGO EN CONTROL"/>
    <s v="Seguimiento y Control / Control"/>
    <s v="Sistema (Automático)"/>
    <s v="SC_14.1"/>
    <s v="Al acceder al detalle de un modelo en la pestaña &quot;Controles&quot;, se puede visualizar el campo &quot; Calificación de Seguimiento&quot;"/>
    <s v="No"/>
    <s v="2026-07-21"/>
    <x v="0"/>
    <s v="OK"/>
  </r>
  <r>
    <x v="1"/>
    <s v="Seguimiento y Control"/>
    <s v="SC_14"/>
    <s v="Alto"/>
    <s v="CAMPO RIESGO EN CONTROL"/>
    <s v="Seguimiento y Control / Control"/>
    <s v="Sistema (Automático)"/>
    <s v="SC_14.2"/>
    <s v="Si es la primera vez que un modelo entra &quot;En Uso&quot;, el campo se muestra automáticamente como &quot;Sin Control&quot;"/>
    <s v="No"/>
    <s v="2026-07-21"/>
    <x v="0"/>
    <s v="OK"/>
  </r>
  <r>
    <x v="1"/>
    <s v="Seguimiento y Control"/>
    <s v="SC_14"/>
    <s v="Alto"/>
    <s v="CAMPO RIESGO EN CONTROL"/>
    <s v="Seguimiento y Control / Control"/>
    <s v="Sistema (Automático)"/>
    <s v="SC_14.3"/>
    <s v="Si ya existe un registro de control consolidado, se observa el valor según corresponda: &quot;Con Control&quot; o &quot;Sin Control&quot; en el campo."/>
    <s v="No"/>
    <s v="2026-07-21"/>
    <x v="3"/>
    <s v="POST"/>
  </r>
  <r>
    <x v="1"/>
    <s v="Seguimiento y Control"/>
    <s v="SC_14"/>
    <s v="Alto"/>
    <s v="CAMPO RIESGO EN CONTROL"/>
    <s v="Seguimiento y Control / Control"/>
    <s v="Sistema (Automático)"/>
    <s v="SC_14.4"/>
    <s v="Si no existe el Riesgo en el registro de consolidado, el campo se muestra &quot;En Uso&quot;"/>
    <s v="No"/>
    <s v="2026-07-21"/>
    <x v="0"/>
    <s v="OK"/>
  </r>
  <r>
    <x v="1"/>
    <s v="Seguimiento y Control"/>
    <s v="SC_14"/>
    <s v="Alto"/>
    <s v="CAMPO RIESGO EN CONTROL"/>
    <s v="Seguimiento y Control / Control"/>
    <s v="Sistema (Automático)"/>
    <s v="SC_14.5"/>
    <s v="Se permite visualizar una descripción detallada de Calificación de Seguimiento, sólo cuando el estado es diferente a &quot;Sin Control&quot;"/>
    <s v="No"/>
    <s v="2026-07-21"/>
    <x v="0"/>
    <s v="OK"/>
  </r>
  <r>
    <x v="1"/>
    <s v="Seguimiento y Control"/>
    <s v="SC_14"/>
    <s v="Alto"/>
    <s v="CAMPO RIESGO EN CONTROL"/>
    <s v="Seguimiento y Control / Control"/>
    <s v="Sistema (Automático)"/>
    <s v="SC_14.6"/>
    <s v="El campo permanece actualizado automáticamente según el estado del modelo, sin necesidad de intervención manual."/>
    <s v="No"/>
    <s v="2026-07-21"/>
    <x v="0"/>
    <s v="OK"/>
  </r>
  <r>
    <x v="1"/>
    <s v="Seguimiento y Control"/>
    <s v="SC_15"/>
    <s v="Alto"/>
    <s v="BOTÓN NUEVO REGISTRO DE CONTROL"/>
    <s v="Seguimiento y Control / Control"/>
    <s v="GRM_REVISOR, GRM_ADMINISTRADOR"/>
    <s v="SC_15.1"/>
    <s v="Al acceder al detalle de un modelo en la pestaña &quot;Controles&quot;, se visualiza el botón &quot;Nuevo Registro +&quot;, en donde se puede agregar una nueva observación del modelo."/>
    <s v="No"/>
    <s v="2026-07-21"/>
    <x v="2"/>
    <s v="OBS"/>
  </r>
  <r>
    <x v="1"/>
    <s v="Seguimiento y Control"/>
    <s v="SC_15"/>
    <s v="Alto"/>
    <s v="BOTÓN NUEVO REGISTRO DE CONTROL"/>
    <s v="Seguimiento y Control / Control"/>
    <s v="GRM_REVISOR, GRM_ADMINISTRADOR"/>
    <s v="SC_15.2"/>
    <s v="Tras completar la información solicitada, se puede confirmar el guardado, el sistema valida los datos, se registra la observación y actualiza la información asociada al modelo en la página."/>
    <s v="No"/>
    <s v="2026-07-30"/>
    <x v="4"/>
    <s v="NOOK"/>
  </r>
  <r>
    <x v="1"/>
    <s v="Seguimiento y Control"/>
    <s v="SC_15"/>
    <s v="Alto"/>
    <s v="BOTÓN NUEVO REGISTRO DE CONTROL"/>
    <s v="Seguimiento y Control / Control"/>
    <s v="GRM_REVISOR, GRM_ADMINISTRADOR"/>
    <s v="SC_15.3"/>
    <s v="El sistema muestra las siguientes Alertas:"/>
    <s v="No"/>
    <s v="2026-07-21"/>
    <x v="0"/>
    <s v="OK"/>
  </r>
  <r>
    <x v="1"/>
    <s v="Seguimiento y Control"/>
    <s v="SC_15"/>
    <s v="Alto"/>
    <s v="BOTÓN NUEVO REGISTRO DE CONTROL"/>
    <s v="Seguimiento y Control / Control"/>
    <s v="GRM_REVISOR, GRM_ADMINISTRADOR"/>
    <s v="SC_15.4"/>
    <s v="Sólo los perfiles GRM_REVISOR y GRM_ADMINISTRADOR pueden realizar esta acción. En caso de que no se tenga el rol necesario, se muestra mensaje: “No tiene permisos para realizar esta acción”."/>
    <s v="No"/>
    <s v="2026-07-21"/>
    <x v="0"/>
    <s v="OK"/>
  </r>
  <r>
    <x v="1"/>
    <s v="Seguimiento y Control"/>
    <s v="SC_16"/>
    <s v="Alto"/>
    <s v="ENCABEZADO RESUMEN DEL MODELO EN CONTROL"/>
    <s v="Seguimiento y Control / Control"/>
    <s v="GRM_RESPO_SEG_EJECUTOR, GRM_RESPO_SEG_APROBADOR, GRM_REVISOR, GRM_ADMINISTRADOR"/>
    <s v="SC_16.1"/>
    <s v="Al acceder a un formulario de Controles de un modelo, se puede visualizar un encabezado resumen del modelo con los datos disponibles como sólo lectura:"/>
    <s v="No"/>
    <s v="2026-07-21"/>
    <x v="0"/>
    <s v="OK"/>
  </r>
  <r>
    <x v="1"/>
    <s v="Seguimiento y Control"/>
    <s v="SC_17"/>
    <s v="Alto"/>
    <s v="CAMPOS DEL FORMULARIO DE CONTROL"/>
    <s v="Seguimiento y Control / Control"/>
    <s v="GRM_REVISOR, GRM_ADMINISTRADOR"/>
    <s v="SC_17.1"/>
    <s v="Al presionar el botón “Nuevo Registro +”, se despliega la página modal Formulario Control Modelo, asociada al modelo seleccionado. Los campos ID Observación, Responsable vienen precargados. Además, si hay valores precargados desde mantenedores o si existe descripción sugerida del registro anterior, debe venir precargada en los campos."/>
    <s v="No"/>
    <s v="2026-07-21"/>
    <x v="2"/>
    <s v="OBS"/>
  </r>
  <r>
    <x v="1"/>
    <s v="Seguimiento y Control"/>
    <s v="SC_17"/>
    <s v="Alto"/>
    <s v="CAMPOS DEL FORMULARIO DE CONTROL"/>
    <s v="Seguimiento y Control / Control"/>
    <s v="GRM_REVISOR, GRM_ADMINISTRADOR"/>
    <s v="SC_17.2"/>
    <s v="El Formulario de Controles debe tener los siguientes campos:"/>
    <s v="No"/>
    <s v="2026-07-21"/>
    <x v="0"/>
    <s v="OK"/>
  </r>
  <r>
    <x v="1"/>
    <s v="Seguimiento y Control"/>
    <s v="SC_17"/>
    <s v="Alto"/>
    <s v="CAMPOS DEL FORMULARIO DE CONTROL"/>
    <s v="Seguimiento y Control / Control"/>
    <s v="GRM_REVISOR, GRM_ADMINISTRADOR"/>
    <s v="SC_17.3"/>
    <s v="Tras presionar guardar, y si se tienen los campos obligatorios completados, se registra el formulario como borrador."/>
    <s v="No"/>
    <s v="2026-07-22"/>
    <x v="0"/>
    <s v="OK"/>
  </r>
  <r>
    <x v="1"/>
    <s v="Seguimiento y Control"/>
    <s v="SC_17"/>
    <s v="Alto"/>
    <s v="CAMPOS DEL FORMULARIO DE CONTROL"/>
    <s v="Seguimiento y Control / Control"/>
    <s v="GRM_REVISOR, GRM_ADMINISTRADOR"/>
    <s v="SC_17.4"/>
    <s v="Si se presiona enviar, teniendo todos lo campos obligatorios completados, se ejecuta el proceso correspondiente y el sistema deja el registro de control."/>
    <s v="No"/>
    <s v="2026-07-22"/>
    <x v="0"/>
    <s v="OK"/>
  </r>
  <r>
    <x v="1"/>
    <s v="Seguimiento y Control"/>
    <s v="SC_17"/>
    <s v="Alto"/>
    <s v="CAMPOS DEL FORMULARIO DE CONTROL"/>
    <s v="Seguimiento y Control / Control"/>
    <s v="GRM_REVISOR, GRM_ADMINISTRADOR"/>
    <s v="SC_17.5"/>
    <s v="Si se presiona el botón Guardar o Enviar, y se tienen campos obligatorios vacíos, formatos inválidos o incumplimiento de reglas de negocios, se muestran mensajes de validación (Alerta) y se mantiene formulario abierto para la corrección."/>
    <s v="No"/>
    <s v="2026-08-05"/>
    <x v="0"/>
    <s v="OK"/>
  </r>
  <r>
    <x v="1"/>
    <s v="Seguimiento y Control"/>
    <s v="SC_18"/>
    <s v="Alto"/>
    <s v="CAMPO CALIFICACIÓN DE SEGUIMIENTO EN CONTROL"/>
    <s v="Seguimiento y Control / Control"/>
    <s v="GRM_REVISOR, GRM_ADMINISTRADOR"/>
    <s v="SC_18.1"/>
    <s v="Al acceder al formulario de Controles del modelo, se muestra el campo &quot;Calificación de Seguimiento&quot; como una lista (select list) con dos opciones:"/>
    <s v="No"/>
    <s v="2026-06-01"/>
    <x v="0"/>
    <s v="OK"/>
  </r>
  <r>
    <x v="1"/>
    <s v="Seguimiento y Control"/>
    <s v="SC_18"/>
    <s v="Alto"/>
    <s v="CAMPO CALIFICACIÓN DE SEGUIMIENTO EN CONTROL"/>
    <s v="Seguimiento y Control / Control"/>
    <s v="GRM_REVISOR, GRM_ADMINISTRADOR"/>
    <s v="SC_18.2"/>
    <s v="Si un modelo pasa de &quot;Seguimiento&quot; a &quot;Control&quot; (mediante el switch), el sistema permite dejar este campo en blanco en el nuevo registro."/>
    <s v="No"/>
    <s v="2026-06-01"/>
    <x v="0"/>
    <s v="OK"/>
  </r>
  <r>
    <x v="1"/>
    <s v="Seguimiento y Control"/>
    <s v="SC_18"/>
    <s v="Alto"/>
    <s v="CAMPO CALIFICACIÓN DE SEGUIMIENTO EN CONTROL"/>
    <s v="Seguimiento y Control / Control"/>
    <s v="GRM_REVISOR, GRM_ADMINISTRADOR"/>
    <s v="SC_18.3"/>
    <s v="El sistema guarda la selección, se aplica automáticamente la fórmula o validación definida por mantenedor de parámetros y actualiza el registro del modelo en la página."/>
    <s v="No"/>
    <s v="2026-06-01"/>
    <x v="0"/>
    <s v="OK"/>
  </r>
  <r>
    <x v="1"/>
    <s v="Seguimiento y Control"/>
    <s v="SC_19"/>
    <s v="Bajo"/>
    <s v="Seguimiento y Control / Control"/>
    <s v="Seguimiento y Control / Control"/>
    <s v="Sistema (Automático)"/>
    <s v="SC_19.1"/>
    <s v="El sistema evalua diariamente las condiciones de alerta según la configuración que se establezca en los mantenedores."/>
    <s v="No"/>
    <s v="2026-06-01"/>
    <x v="3"/>
    <s v="POST"/>
  </r>
  <r>
    <x v="1"/>
    <s v="Seguimiento y Control"/>
    <s v="SC_19"/>
    <s v="Bajo"/>
    <s v="Seguimiento y Control / Control"/>
    <s v="Seguimiento y Control / Control"/>
    <s v="Sistema (Automático)"/>
    <s v="SC_19.2"/>
    <s v="Si se cumplen condiciones, por ejemplo, la fecha de próximo control sobrepasa la periodicidad, el sistema genera automáticamente una alerta correspondiente. El sistema envía un correo electrónico al destinatario configurado (Revisor) con los detalles de la alerta según como se definió en documento A&amp;D."/>
    <s v="No"/>
    <s v="2026-06-01"/>
    <x v="3"/>
    <s v="POST"/>
  </r>
  <r>
    <x v="1"/>
    <s v="Seguimiento y Control"/>
    <s v="SC_19"/>
    <s v="Bajo"/>
    <s v="Seguimiento y Control / Control"/>
    <s v="Seguimiento y Control / Control"/>
    <s v="Sistema (Automático)"/>
    <s v="SC_19.4"/>
    <s v="El menú de mantenedor sólo se muestra a usuario con rol Administrador."/>
    <s v="No"/>
    <s v="2026-06-01"/>
    <x v="0"/>
    <s v="OK"/>
  </r>
  <r>
    <x v="1"/>
    <s v="Seguimiento y Control"/>
    <s v="SC_20"/>
    <s v="Alto"/>
    <s v="VENTANA DE SOLICITUDES DE EXTENSIÓN"/>
    <s v="Seguimiento y Control / Control / Extensión"/>
    <s v="GRM_REVISOR, GRM_ADMINISTRADOR"/>
    <s v="SC_20.1"/>
    <s v="En la pestaña Controles, al presionar el botón &quot;Solicitar Extensión&quot;, se despliega la ventana se solicitudes de extensión, en donde se muestran todas las solicitudes hechas, e incluye un botón de &quot;Nueva Solicitud&quot;"/>
    <s v="No"/>
    <s v="2026-07-30"/>
    <x v="0"/>
    <s v="OK"/>
  </r>
  <r>
    <x v="1"/>
    <s v="Seguimiento y Control"/>
    <s v="SC_20"/>
    <s v="Alto"/>
    <s v="VENTANA DE SOLICITUDES DE EXTENSIÓN"/>
    <s v="Seguimiento y Control / Control / Extensión"/>
    <s v="GRM_REVISOR, GRM_ADMINISTRADOR"/>
    <s v="SC_20.2"/>
    <s v="Al presionar Nueva Solicitud, se muestra un formulario que se debe completar con Justificación (Obligatorio) y Plazo Solicitado (Obligatorio)."/>
    <s v="No"/>
    <s v="2026-08-05"/>
    <x v="0"/>
    <s v="OK"/>
  </r>
  <r>
    <x v="1"/>
    <s v="Seguimiento y Control"/>
    <s v="SC_20"/>
    <s v="Alto"/>
    <s v="VENTANA DE SOLICITUDES DE EXTENSIÓN"/>
    <s v="Seguimiento y Control / Control / Extensión"/>
    <s v="GRM_REVISOR, GRM_ADMINISTRADOR"/>
    <s v="SC_20.3"/>
    <s v="Se puede adjuntar documentos de soporte (Opcional) al presionar en Archivos +."/>
    <s v="No"/>
    <s v="2026-07-30"/>
    <x v="0"/>
    <s v="OK"/>
  </r>
  <r>
    <x v="1"/>
    <s v="Seguimiento y Control"/>
    <s v="SC_20"/>
    <s v="Alto"/>
    <s v="VENTANA DE SOLICITUDES DE EXTENSIÓN"/>
    <s v="Seguimiento y Control / Control / Extensión"/>
    <s v="GRM_REVISOR, GRM_ADMINISTRADOR"/>
    <s v="SC_20.4"/>
    <s v="Al presionar solicitar, el sistema valida campos obligatorios y se registra la solicitud. Se muestra el mensaje: “Solicitud de Extensión enviada correctamente”"/>
    <s v="No"/>
    <s v="2026-07-30"/>
    <x v="0"/>
    <s v="OK"/>
  </r>
  <r>
    <x v="1"/>
    <s v="Seguimiento y Control"/>
    <s v="SC_20"/>
    <s v="Alto"/>
    <s v="VENTANA DE SOLICITUDES DE EXTENSIÓN"/>
    <s v="Seguimiento y Control / Control / Extensión"/>
    <s v="GRM_REVISOR, GRM_ADMINISTRADOR"/>
    <s v="SC_20.5"/>
    <s v="Otras alertas correspondientes a cada caso:"/>
    <s v="No"/>
    <s v="2026-07-30"/>
    <x v="0"/>
    <s v="OK"/>
  </r>
  <r>
    <x v="1"/>
    <s v="Seguimiento y Control"/>
    <s v="SC_21"/>
    <s v="Alto"/>
    <s v="FORMULARIO DE NUEVA SOLICITUD DE EXTENSIÓN"/>
    <s v="Seguimiento y Control / Control / Extensión"/>
    <s v="GRM_REVISOR, GRM_ADMINISTRADOR"/>
    <s v="SC_21.1"/>
    <s v="Al presionar en el botón Nueva Solicitud, se debe desplegar el mini formulario de Solicitar Extensión."/>
    <s v="No"/>
    <s v="2026-07-30"/>
    <x v="0"/>
    <s v="OK"/>
  </r>
  <r>
    <x v="1"/>
    <s v="Seguimiento y Control"/>
    <s v="SC_21"/>
    <s v="Alto"/>
    <s v="FORMULARIO DE NUEVA SOLICITUD DE EXTENSIÓN"/>
    <s v="Seguimiento y Control / Control / Extensión"/>
    <s v="GRM_REVISOR, GRM_ADMINISTRADOR"/>
    <s v="SC_21.2"/>
    <s v="El sistema valida que la justificación de la prórroga no esté vacia, el plazo solicitado está dentro de los límites permitidos, el registro asociado está en estado válido para solicitar prórroga."/>
    <s v="No"/>
    <s v="2026-07-30"/>
    <x v="0"/>
    <s v="OK"/>
  </r>
  <r>
    <x v="1"/>
    <s v="Seguimiento y Control"/>
    <s v="SC_22"/>
    <s v="Alto"/>
    <s v="MENSAJE DE ALERTA AL SOLICITAR EXTENSIÓN"/>
    <s v="Seguimiento y Control / Control / Extensión"/>
    <s v="Sistema (Automático)"/>
    <s v="SC_22.1"/>
    <s v="Luego de que un usuario complete el formulario de &quot;Nueva Solicitud&quot;, al presionar en &quot;Solicitar Extensión&quot;, se muestra alerta:"/>
    <s v="No"/>
    <s v="2026-07-22"/>
    <x v="0"/>
    <s v="OK"/>
  </r>
  <r>
    <x v="1"/>
    <s v="Seguimiento y Control"/>
    <s v="SC_22"/>
    <s v="Alto"/>
    <s v="MENSAJE DE ALERTA AL SOLICITAR EXTENSIÓN"/>
    <s v="Seguimiento y Control / Control / Extensión"/>
    <s v="Sistema (Automático)"/>
    <s v="SC_22.2"/>
    <s v="Si la solicitud es aprobada por Revisor, el sistema modifica la fecha de Próximo Control y envía mensaje de alerta:"/>
    <s v="No"/>
    <s v="2026-07-22"/>
    <x v="0"/>
    <s v="OK"/>
  </r>
  <r>
    <x v="1"/>
    <s v="Seguimiento y Control"/>
    <s v="SC_22"/>
    <s v="Alto"/>
    <s v="MENSAJE DE ALERTA AL SOLICITAR EXTENSIÓN"/>
    <s v="Seguimiento y Control / Control / Extensión"/>
    <s v="Sistema (Automático)"/>
    <s v="SC_22.3"/>
    <s v="En caso de que la solicitud sea rechazada, se muestra el mensaje:"/>
    <s v="No"/>
    <s v="2026-07-22"/>
    <x v="0"/>
    <s v="OK"/>
  </r>
  <r>
    <x v="1"/>
    <s v="Seguimiento y Control"/>
    <s v="SC_22"/>
    <s v="Alto"/>
    <s v="MENSAJE DE ALERTA AL SOLICITAR EXTENSIÓN"/>
    <s v="Seguimiento y Control / Control / Extensión"/>
    <s v="Sistema (Automático)"/>
    <s v="SC_22.4"/>
    <s v="Usuario sin permisos: el sistema detecta que el usuario no tiene el rol requerido y muestra mensaje “No tiene permisos para realizar esta acción”."/>
    <s v="No"/>
    <s v="2026-07-22"/>
    <x v="0"/>
    <s v="OK"/>
  </r>
  <r>
    <x v="1"/>
    <s v="Seguimiento y Control"/>
    <s v="SC_23"/>
    <s v="Alto"/>
    <s v="GRILLA DE SEGUIMIENTO CON COLUMNAS"/>
    <s v="Seguimiento y Control / Seguimiento"/>
    <s v="GRM_RESPO_SEG_EJECUTOR, GRM_RESPO_SEG_APROBADOR, GRM_REVISOR, GRM_ADMINISTRADOR"/>
    <s v="SC_23.1"/>
    <s v="En la pagina de inicio de la pestaña &quot;Seguimiento&quot;, se debe poder visualizar una grilla con las siguientes columnas:"/>
    <s v="No"/>
    <s v="2026-08-05"/>
    <x v="3"/>
    <s v="POST"/>
  </r>
  <r>
    <x v="1"/>
    <s v="Seguimiento y Control"/>
    <s v="SC_23"/>
    <s v="Alto"/>
    <s v="GRILLA DE SEGUIMIENTO CON COLUMNAS"/>
    <s v="Seguimiento y Control / Seguimiento"/>
    <s v="GRM_RESPO_SEG_EJECUTOR, GRM_RESPO_SEG_APROBADOR, GRM_REVISOR, GRM_ADMINISTRADOR"/>
    <s v="SC_23.2"/>
    <s v="Usuario sin permisos: el sistema detecta que el usuario no tiene el rol requerido y no permite visualización del Módulo. (Sólo permiso para actores mencionados: GRM_RESPO_SEG_EJECUTOR, GRM_RESPO_SEG_APROBADOR, GRM_REVISOR, GRM_ADMINISTRADOR )"/>
    <s v="No"/>
    <s v="2026-08-05"/>
    <x v="0"/>
    <s v="OK"/>
  </r>
  <r>
    <x v="1"/>
    <s v="Seguimiento y Control"/>
    <s v="SC_24"/>
    <s v="Alto"/>
    <s v="CARGA MASIVA PARA SEGUIMIENTO"/>
    <s v="Seguimiento y Control / Seguimiento"/>
    <s v="GRM_RESPO_SEG_EJECUTOR, GRM_RESPO_SEG_APROBADOR, GRM_REVISOR, GRM_ADMINISTRADOR"/>
    <s v="SC_24.1"/>
    <s v="Al presionar la opción de &quot;Cargar información&quot; en la región de acciones, el sistema muesta un cuadro de diálogo de selección de archivos."/>
    <s v="No"/>
    <s v="2026-06-01"/>
    <x v="0"/>
    <s v="OK"/>
  </r>
  <r>
    <x v="1"/>
    <s v="Seguimiento y Control"/>
    <s v="SC_24"/>
    <s v="Alto"/>
    <s v="CARGA MASIVA PARA SEGUIMIENTO"/>
    <s v="Seguimiento y Control / Seguimiento"/>
    <s v="GRM_RESPO_SEG_EJECUTOR, GRM_RESPO_SEG_APROBADOR, GRM_REVISOR, GRM_ADMINISTRADOR"/>
    <s v="SC_24.2"/>
    <s v="La extensión correcta debe ser .xlsx o .xls"/>
    <s v="No"/>
    <s v="2026-06-01"/>
    <x v="0"/>
    <s v="OK"/>
  </r>
  <r>
    <x v="1"/>
    <s v="Seguimiento y Control"/>
    <s v="SC_24"/>
    <s v="Alto"/>
    <s v="CARGA MASIVA PARA SEGUIMIENTO"/>
    <s v="Seguimiento y Control / Seguimiento"/>
    <s v="GRM_RESPO_SEG_EJECUTOR, GRM_RESPO_SEG_APROBADOR, GRM_REVISOR, GRM_ADMINISTRADOR"/>
    <s v="SC_24.3"/>
    <s v="El tamaño del archivo no puede exceder los 10 MB"/>
    <s v="No"/>
    <s v="2026-06-01"/>
    <x v="0"/>
    <s v="OK"/>
  </r>
  <r>
    <x v="1"/>
    <s v="Seguimiento y Control"/>
    <s v="SC_24"/>
    <s v="Alto"/>
    <s v="CARGA MASIVA PARA SEGUIMIENTO"/>
    <s v="Seguimiento y Control / Seguimiento"/>
    <s v="GRM_RESPO_SEG_EJECUTOR, GRM_RESPO_SEG_APROBADOR, GRM_REVISOR, GRM_ADMINISTRADOR"/>
    <s v="SC_24.4"/>
    <s v="La estructura del archivo (columnas) debe coincidir con la plantilla esperada."/>
    <s v="No"/>
    <s v="2026-06-01"/>
    <x v="3"/>
    <s v="POST"/>
  </r>
  <r>
    <x v="1"/>
    <s v="Seguimiento y Control"/>
    <s v="SC_24"/>
    <s v="Alto"/>
    <s v="CARGA MASIVA PARA SEGUIMIENTO"/>
    <s v="Seguimiento y Control / Seguimiento"/>
    <s v="GRM_RESPO_SEG_EJECUTOR, GRM_RESPO_SEG_APROBADOR, GRM_REVISOR, GRM_ADMINISTRADOR"/>
    <s v="SC_24.5"/>
    <s v="El sistema muestra las siguientes alertas:"/>
    <s v="No"/>
    <s v="2026-06-01"/>
    <x v="3"/>
    <s v="POST"/>
  </r>
  <r>
    <x v="1"/>
    <s v="Seguimiento y Control"/>
    <s v="SC_25"/>
    <s v="Medio"/>
    <s v="MANTENEDOR DE PLANTILLAS DE SEGUIMIENTO"/>
    <s v="Seguimiento y Control / Seguimiento"/>
    <s v="GRM_ADMINISTRADOR"/>
    <s v="SC_25.1"/>
    <s v="Usuario con rol administrador, tiene visible botón &quot;Cargar Template Excel&quot; en la pantalla de observaciones."/>
    <s v="No"/>
    <m/>
    <x v="5"/>
    <s v="VACIA"/>
  </r>
  <r>
    <x v="1"/>
    <s v="Seguimiento y Control"/>
    <s v="SC_25"/>
    <s v="Medio"/>
    <s v="MANTENEDOR DE PLANTILLAS DE SEGUIMIENTO"/>
    <s v="Seguimiento y Control / Seguimiento"/>
    <s v="GRM_ADMINISTRADOR"/>
    <s v="SC_25.2"/>
    <s v="Al presionar el botón, se abre un diálogo de selección de archivo Excel (.xlsx o .xls), y se puede cargar archivo Plantilla de seguimiento."/>
    <s v="No"/>
    <m/>
    <x v="5"/>
    <s v="VACIA"/>
  </r>
  <r>
    <x v="1"/>
    <s v="Seguimiento y Control"/>
    <s v="SC_25"/>
    <s v="Medio"/>
    <s v="MANTENEDOR DE PLANTILLAS DE SEGUIMIENTO"/>
    <s v="Seguimiento y Control / Seguimiento"/>
    <s v="GRM_ADMINISTRADOR"/>
    <s v="SC_25.3"/>
    <s v="El sistema valida el formato del archivo, tamaño máximo (10 MB) y la estructura de columnas (definidas en nueva plantilla descargable), debe coincidir con lo esperado."/>
    <s v="No"/>
    <m/>
    <x v="5"/>
    <s v="VACIA"/>
  </r>
  <r>
    <x v="1"/>
    <s v="Seguimiento y Control"/>
    <s v="SC_25"/>
    <s v="Medio"/>
    <s v="MANTENEDOR DE PLANTILLAS DE SEGUIMIENTO"/>
    <s v="Seguimiento y Control / Seguimiento"/>
    <s v="GRM_ADMINISTRADOR"/>
    <s v="SC_25.4"/>
    <s v="Si el archivo es validado por el sistema, se muestra un resumen de carga y se habilita el archivo para su posterior descarga."/>
    <s v="No"/>
    <m/>
    <x v="5"/>
    <s v="VACIA"/>
  </r>
  <r>
    <x v="1"/>
    <s v="Seguimiento y Control"/>
    <s v="SC_25"/>
    <s v="Medio"/>
    <s v="MANTENEDOR DE PLANTILLAS DE SEGUIMIENTO"/>
    <s v="Seguimiento y Control / Seguimiento"/>
    <s v="GRM_ADMINISTRADOR"/>
    <s v="SC_25.5"/>
    <s v="Si el sistema detecta que los datos son inválidos, se muestra error al cargar la plantilla."/>
    <s v="No"/>
    <m/>
    <x v="5"/>
    <s v="VACIA"/>
  </r>
  <r>
    <x v="1"/>
    <s v="Seguimiento y Control"/>
    <s v="SC_25"/>
    <s v="Medio"/>
    <s v="MANTENEDOR DE PLANTILLAS DE SEGUIMIENTO"/>
    <s v="Seguimiento y Control / Seguimiento"/>
    <s v="GRM_ADMINISTRADOR"/>
    <s v="SC_25.6"/>
    <s v="Al intentar cargar un archivo duplicado, se muestra alerta: “Ya existe un registro activo con estos datos”."/>
    <s v="No"/>
    <m/>
    <x v="5"/>
    <s v="VACIA"/>
  </r>
  <r>
    <x v="1"/>
    <s v="Seguimiento y Control"/>
    <s v="SC_25"/>
    <s v="Medio"/>
    <s v="MANTENEDOR DE PLANTILLAS DE SEGUIMIENTO"/>
    <s v="Seguimiento y Control / Seguimiento"/>
    <s v="GRM_ADMINISTRADOR"/>
    <s v="SC_25.7"/>
    <s v="Las alertas que muestra el sistema son:"/>
    <s v="No"/>
    <m/>
    <x v="5"/>
    <s v="VACIA"/>
  </r>
  <r>
    <x v="1"/>
    <s v="Seguimiento y Control"/>
    <s v="SC_26"/>
    <s v="Alto"/>
    <s v="DESCARGA DE INFORMACIÓN EN EXCEL"/>
    <s v="Seguimiento y Control / Seguimiento"/>
    <s v="GRM_RESPO_SEG_EJECUTOR, GRM_RESPO_SEG_APROBADOR, GRM_REVISOR, GRM_ADMINISTRADOR"/>
    <s v="SC_26.1"/>
    <s v="Al presionar el botón &quot;Inventario seguimiento&quot;, de la región de acciones de la página de seguimiento, se muestra un diálogo de selección de archivo, en donde se puede buscar y seleccionar archivo Excel de plantilla."/>
    <s v="No"/>
    <s v="2026-06-01"/>
    <x v="3"/>
    <s v="POST"/>
  </r>
  <r>
    <x v="1"/>
    <s v="Seguimiento y Control"/>
    <s v="SC_26"/>
    <s v="Alto"/>
    <s v="DESCARGA DE INFORMACIÓN EN EXCEL"/>
    <s v="Seguimiento y Control / Seguimiento"/>
    <s v="GRM_RESPO_SEG_EJECUTOR, GRM_RESPO_SEG_APROBADOR, GRM_REVISOR, GRM_ADMINISTRADOR"/>
    <s v="SC_26.2"/>
    <s v="Se puede descargar la información de la tabla."/>
    <s v="No"/>
    <s v="2026-06-01"/>
    <x v="0"/>
    <s v="OK"/>
  </r>
  <r>
    <x v="1"/>
    <s v="Seguimiento y Control"/>
    <s v="SC_27"/>
    <s v="Bajo"/>
    <s v="MANTENEDOR DE QUERY DE DESCARGA"/>
    <s v="Seguimiento y Control / Seguimiento"/>
    <s v="GRM_ADMINISTRADOR"/>
    <s v="SC_27.1"/>
    <s v="Al acceder al menú de Configuración&gt;Mantenedores, se muestra la página del mantenedor (sólo para rol de administrador)."/>
    <s v="No"/>
    <s v="2026-06-01"/>
    <x v="0"/>
    <s v="OK"/>
  </r>
  <r>
    <x v="1"/>
    <s v="Seguimiento y Control"/>
    <s v="SC_27"/>
    <s v="Bajo"/>
    <s v="MANTENEDOR DE QUERY DE DESCARGA"/>
    <s v="Seguimiento y Control / Seguimiento"/>
    <s v="GRM_ADMINISTRADOR"/>
    <s v="SC_27.2"/>
    <s v="El mantenedor permite gestionar los registros Agregar/Editar/Eliminar registros."/>
    <s v="No"/>
    <s v="2026-06-01"/>
    <x v="0"/>
    <s v="OK"/>
  </r>
  <r>
    <x v="1"/>
    <s v="Seguimiento y Control"/>
    <s v="SC_27"/>
    <s v="Bajo"/>
    <s v="MANTENEDOR DE QUERY DE DESCARGA"/>
    <s v="Seguimiento y Control / Seguimiento"/>
    <s v="GRM_ADMINISTRADOR"/>
    <s v="SC_27.3"/>
    <s v="Si se intenta guardar un registro duplicado, el sistema muestra un mensaje: “Ya existe un registro activo con estos datos”."/>
    <s v="No"/>
    <s v="2026-06-01"/>
    <x v="0"/>
    <s v="OK"/>
  </r>
  <r>
    <x v="1"/>
    <s v="Seguimiento y Control"/>
    <s v="SC_27"/>
    <s v="Bajo"/>
    <s v="MANTENEDOR DE QUERY DE DESCARGA"/>
    <s v="Seguimiento y Control / Seguimiento"/>
    <s v="GRM_ADMINISTRADOR"/>
    <s v="SC_27.4"/>
    <s v="Las alertas que muestra el sistema son:"/>
    <s v="No"/>
    <s v="2026-06-01"/>
    <x v="0"/>
    <s v="OK"/>
  </r>
  <r>
    <x v="1"/>
    <s v="Seguimiento y Control"/>
    <s v="SC_28"/>
    <s v="Alto"/>
    <s v="CABECERA DE FORMULARIO DE CABECERA DE SEGUIMIENTO"/>
    <s v="Seguimiento y Control / Seguimiento"/>
    <s v="Sistema(Automático)"/>
    <s v="SC_28.1"/>
    <s v="Al ingresar al botón &quot;Editar&quot; de un modelo de la pestaña de seguimiento, se muestran los siguientes campos de cabecera:"/>
    <s v="No"/>
    <s v="2026-06-01"/>
    <x v="0"/>
    <s v="OK"/>
  </r>
  <r>
    <x v="1"/>
    <s v="Seguimiento y Control"/>
    <s v="SC_29"/>
    <s v="Alto"/>
    <s v="ENCABEZADO RESUMEN DEL MODELO EN SEGUIMIENTO"/>
    <s v="Seguimiento y Control / Seguimiento"/>
    <s v="GRM_DESA_EJECUTOR, GRM_DESA_APROBADOR, GRM_IMPLEM_EJECUTOR, GRM_IMPLEM_APROBADOR, GRM_RESPO_SEG_EJECUTOR, GRM_RESPO_SEG_APROBADOR, GRM_REVISOR, GRM_ADMINISTRADOR"/>
    <s v="SC_29.1"/>
    <s v="Al ingresar al Formulario de Seguimiento se visualiza un encabezado resumen del modelo:"/>
    <s v="No"/>
    <s v="2026-06-01"/>
    <x v="2"/>
    <s v="OBS"/>
  </r>
  <r>
    <x v="1"/>
    <s v="Seguimiento y Control"/>
    <s v="SC_29"/>
    <s v="Alto"/>
    <s v="ENCABEZADO RESUMEN DEL MODELO EN SEGUIMIENTO"/>
    <s v="Seguimiento y Control / Seguimiento"/>
    <s v="GRM_DESA_EJECUTOR, GRM_DESA_APROBADOR, GRM_IMPLEM_EJECUTOR, GRM_IMPLEM_APROBADOR, GRM_RESPO_SEG_EJECUTOR, GRM_RESPO_SEG_APROBADOR, GRM_REVISOR, GRM_ADMINISTRADOR"/>
    <s v="SC_29.2"/>
    <s v="Al hacer clic en botón &quot;Editar&quot; en un modelo en Uso, se muestra modal con encabezado fijo descrito en SC_29_1. Se puede completar el formulario y tras presionar el botón guardar, se muestra alerta verde: &quot;Operación realizada correctamente&quot; y se refresca el formulario (se mantiene abierto para más registros)"/>
    <s v="No"/>
    <s v="2026-06-01"/>
    <x v="0"/>
    <s v="OK"/>
  </r>
  <r>
    <x v="1"/>
    <s v="Seguimiento y Control"/>
    <s v="SC_30"/>
    <s v="Alto"/>
    <s v="CAMPOS DEL FORMULARIO DE SEGUIMIENTO:"/>
    <s v="Seguimiento y Control / Seguimiento"/>
    <s v="GRM_DESA_EJECUTOR, GRM_DESA_APROBADOR, GRM_IMPLEM_EJECUTOR, GRM_IMPLEM_APROBADOR, GRM_RESPO_SEG_EJECUTOR, GRM_RESPO_SEG_APROBADOR, GRM_REVISOR, GRM_ADMINISTRADOR"/>
    <s v="SC_30.1"/>
    <s v="al hacer clic en &quot;Editar&quot; en un modelo de la grilla Seguimiento, se abre formulario de seguimiento completo."/>
    <s v="No"/>
    <s v="2026-06-03"/>
    <x v="0"/>
    <s v="OK"/>
  </r>
  <r>
    <x v="1"/>
    <s v="Seguimiento y Control"/>
    <s v="SC_30"/>
    <s v="Alto"/>
    <s v="CAMPOS DEL FORMULARIO DE SEGUIMIENTO:"/>
    <s v="Seguimiento y Control / Seguimiento"/>
    <s v="GRM_RESPO_SEG_EJECUTOR, GRM_RESPO_SEG_APROBADOR, GRM_REVISOR, GRM_ADMINISTRADOR"/>
    <s v="SC_30.2"/>
    <s v="El formulario de seguimiento muestra los siguientes campos:"/>
    <s v="No"/>
    <s v="2026-06-03"/>
    <x v="4"/>
    <s v="NOOK"/>
  </r>
  <r>
    <x v="1"/>
    <s v="Seguimiento y Control"/>
    <s v="SC_30"/>
    <s v="Alto"/>
    <s v="CAMPOS DEL FORMULARIO DE SEGUIMIENTO:"/>
    <s v="Seguimiento y Control / Seguimiento"/>
    <s v="GRM_RESPO_SEG_EJECUTOR, GRM_RESPO_SEG_APROBADOR, GRM_REVISOR, GRM_ADMINISTRADOR"/>
    <s v="SC_30.2"/>
    <s v="Al completar los campos obligatorios y presionar el botón guardar, se calcula la Calificación Final por fórmula del mantenedor y se muestra icono de alerta (rojo o verde dependeindo si registro se guarda corretamente o no)"/>
    <s v="No"/>
    <s v="2026-06-03"/>
    <x v="4"/>
    <s v="NOOK"/>
  </r>
  <r>
    <x v="1"/>
    <s v="Seguimiento y Control"/>
    <s v="SC_30"/>
    <s v="Alto"/>
    <s v="CAMPOS DEL FORMULARIO DE SEGUIMIENTO:"/>
    <s v="Seguimiento y Control / Seguimiento"/>
    <s v="GRM_RESPO_SEG_EJECUTOR, GRM_RESPO_SEG_APROBADOR, GRM_REVISOR, GRM_ADMINISTRADOR"/>
    <s v="SC_30.3"/>
    <s v="Se respetan los roles especiales:"/>
    <s v="No"/>
    <s v="2026-06-03"/>
    <x v="0"/>
    <s v="OK"/>
  </r>
  <r>
    <x v="1"/>
    <s v="Seguimiento y Control"/>
    <s v="SC_31"/>
    <s v="Alto"/>
    <s v="ENVÍO A REVISIÓN POR RESPONSABLE"/>
    <s v="Seguimiento y Control / Seguimiento"/>
    <s v="GRM_RESPO_SEG_APROBADOR"/>
    <s v="SC_31.1"/>
    <s v="Aprobador abrir desde la grilla el formulario Seguimiento de un modelo, y tras completar/verificar los campos obligatorios, presionar botón &quot;Enviar a revisión&quot;, el sistema:"/>
    <s v="No"/>
    <s v="2026-06-03"/>
    <x v="0"/>
    <s v="OK"/>
  </r>
  <r>
    <x v="1"/>
    <s v="Seguimiento y Control"/>
    <s v="SC_31"/>
    <s v="Alto"/>
    <s v="ENVÍO A REVISIÓN POR RESPONSABLE"/>
    <s v="Seguimiento y Control / Seguimiento"/>
    <s v="GRM_RESPO_SEG_APROBADOR"/>
    <s v="SC_31.2"/>
    <s v="Si un usuario tiene un rol diferente a GRM_RESPO_SEG_APROBADOR no puede tener visible el botón &quot;Enviar a revisión&quot;"/>
    <s v="No"/>
    <s v="2026-06-03"/>
    <x v="4"/>
    <s v="NOOK"/>
  </r>
  <r>
    <x v="1"/>
    <s v="Seguimiento y Control"/>
    <s v="SC_32"/>
    <s v="Bajo"/>
    <s v="ALERTA DE FECHA DE CONTROL"/>
    <s v="Seguimiento y Control / Seguimiento"/>
    <s v="Sistema (Automático)"/>
    <s v="SC_32.1"/>
    <s v="El sistema evalúa periódicamente las condiciones de alerta según la configuración establecida en los mantenedores. Cuando se cumplen las condiciones (por ejemplo, la fecha de próximo control sobrepasa la periodicidad), el sistema genera automáticamente la alerta correspondiente. El sistema envía un correo electrónico al destinatario configurado (Revisor, Responsable de Seguimiento) con los detalles de la alerta. El sistema registra el envío de la alerta en el log de auditoría para trazabilidad."/>
    <s v="No"/>
    <s v="2026-06-03"/>
    <x v="0"/>
    <s v="OK"/>
  </r>
  <r>
    <x v="1"/>
    <s v="Seguimiento y Control"/>
    <s v="SC_33"/>
    <s v="Bajo"/>
    <s v="ALERTA POST COMITÉ  (DESESTIMADA)"/>
    <s v="Seguimiento y Control / Seguimiento"/>
    <s v="Sistema (Automático)"/>
    <s v="SC_33.1"/>
    <s v="DESESTIMADA"/>
    <s v="No"/>
    <m/>
    <x v="1"/>
    <s v="N/A"/>
  </r>
  <r>
    <x v="1"/>
    <s v="Seguimiento y Control"/>
    <s v="SC_34"/>
    <s v="Alto"/>
    <s v="MANTENEDOR DE GRUPOS Y PERIODICIDADES"/>
    <s v="Seguimiento y Control / Seguimiento"/>
    <s v="GRM_ADMINISTRADOR"/>
    <s v="SC_34.1"/>
    <s v="Al acceder al menú de configuración&gt;Mantenedores, se muestra la configuración para añadir grupos de familias y sus priodicidades, agregando los modelos que son presentados en instancias de Comité tecnico de Modelos."/>
    <s v="No"/>
    <s v="2026-06-04"/>
    <x v="3"/>
    <s v="POST"/>
  </r>
  <r>
    <x v="1"/>
    <s v="Seguimiento y Control"/>
    <s v="SC_35"/>
    <s v="Alto"/>
    <s v="CAMPOS ADICIONALES POR CALIFICACIÓN DE SEGUIMIENTO ALERTA"/>
    <s v="Seguimiento y Control / Seguimiento"/>
    <s v="GRM_DESA_EJECUTOR, GRM_DESA_APROBADOR, GRM_IMPLEM_EJECUTOR, GRM_IMPLEM_APROBADOR, GRM_RESPO_SEG_EJECUTOR, GRM_RESPO_SEG_APROBADOR, GRM_REVISOR, GRM_ADMINISTRADOR"/>
    <s v="SC_35.1"/>
    <s v="Al ingresar al formulario de Seguimiento de un modelo, los siguientes campos (todos obligatorios) aparecen en el caso de que la calificación de seguimiento sea Alerta, en caso contrario permanecen ocultos:"/>
    <s v="No"/>
    <s v="2026-06-04"/>
    <x v="0"/>
    <s v="OK"/>
  </r>
  <r>
    <x v="1"/>
    <s v="Seguimiento y Control"/>
    <s v="SC_35"/>
    <s v="Alto"/>
    <s v="CAMPOS ADICIONALES POR CALIFICACIÓN DE SEGUIMIENTO ALERTA"/>
    <s v="Seguimiento y Control / Seguimiento"/>
    <s v="GRM_DESA_EJECUTOR, GRM_DESA_APROBADOR, GRM_IMPLEM_EJECUTOR, GRM_IMPLEM_APROBADOR, GRM_RESPO_SEG_EJECUTOR, GRM_RESPO_SEG_APROBADOR, GRM_REVISOR, GRM_ADMINISTRADOR"/>
    <s v="SC_35.2"/>
    <s v="Es posible completar los campos obligatorios y guardar el formulario"/>
    <s v="No"/>
    <s v="2026-06-04"/>
    <x v="0"/>
    <s v="OK"/>
  </r>
  <r>
    <x v="1"/>
    <s v="Seguimiento y Control"/>
    <s v="SC_36"/>
    <s v="Alto"/>
    <s v="OPCIONES DE CALIFICACIÓN DE SEGUIMIENTO CON ALERTA"/>
    <s v="Seguimiento y Control / Seguimiento"/>
    <s v="GRM_DESA_EJECUTOR, GRM_DESA_APROBADOR, GRM_IMPLEM_EJECUTOR, GRM_IMPLEM_APROBADOR, GRM_RESPO_SEG_EJECUTOR, GRM_RESPO_SEG_APROBADOR, GRM_REVISOR, GRM_ADMINISTRADOR"/>
    <s v="SC_36.1"/>
    <s v="En el formulario de Seguimiento de un modelo, en caso de que la conclusión sea Alerta, el campo Estado Interno, aumenta sus opciones de lista desplegable:"/>
    <s v="No"/>
    <s v="2026-06-04"/>
    <x v="0"/>
    <s v="OK"/>
  </r>
  <r>
    <x v="1"/>
    <s v="Seguimiento y Control"/>
    <s v="SC_36"/>
    <s v="Alto"/>
    <s v="OPCIONES DE CALIFICACIÓN DE SEGUIMIENTO CON ALERTA"/>
    <s v="Seguimiento y Control / Seguimiento"/>
    <s v="GRM_DESA_EJECUTOR, GRM_DESA_APROBADOR, GRM_IMPLEM_EJECUTOR, GRM_IMPLEM_APROBADOR, GRM_RESPO_SEG_EJECUTOR, GRM_RESPO_SEG_APROBADOR, GRM_REVISOR, GRM_ADMINISTRADOR"/>
    <s v="SC_36.2"/>
    <s v="Al seleccionar alguna de las opciones de Estado Interno y presionar Guardar, se guarda registro de la opción seleccionada."/>
    <s v="No"/>
    <s v="2026-06-04"/>
    <x v="0"/>
    <s v="OK"/>
  </r>
  <r>
    <x v="1"/>
    <s v="Seguimiento y Control"/>
    <s v="SC_36"/>
    <s v="Alto"/>
    <s v="OPCIONES DE CALIFICACIÓN DE SEGUIMIENTO CON ALERTA"/>
    <s v="Seguimiento y Control / Seguimiento"/>
    <s v="GRM_DESA_EJECUTOR, GRM_DESA_APROBADOR, GRM_IMPLEM_EJECUTOR, GRM_IMPLEM_APROBADOR, GRM_RESPO_SEG_EJECUTOR, GRM_RESPO_SEG_APROBADOR, GRM_REVISOR, GRM_ADMINISTRADOR"/>
    <s v="SC_36.3"/>
    <s v="El sistema monitorea las fechas automáticamente y cambia a &quot;Atrasada&quot; si alguna de las fechas está vencida."/>
    <s v="No"/>
    <s v="2026-06-04"/>
    <x v="0"/>
    <s v="OK"/>
  </r>
  <r>
    <x v="1"/>
    <s v="Seguimiento y Control"/>
    <s v="SC_37"/>
    <s v="Alto"/>
    <s v="CALIFICACIÓN DE SEGUIMIENTO ALERTA FIJA PERMANENTE"/>
    <s v="Seguimiento y Control / Seguimiento"/>
    <s v="Sistema (Automático)"/>
    <s v="SC_37.1"/>
    <s v="En caso de que se registre/edite la conclusión a &quot;Alerta&quot; por primera vez, el campo Calificación de Seguimiento queda fijado para siempre en Alerta (se bloquea la edición de este campo permanentemente), aunque se generen nuevos registros."/>
    <s v="No"/>
    <s v="2026-08-06"/>
    <x v="1"/>
    <s v="N/A"/>
  </r>
  <r>
    <x v="1"/>
    <s v="Seguimiento y Control"/>
    <s v="SC_37"/>
    <s v="Alto"/>
    <s v="CALIFICACIÓN DE SEGUIMIENTO ALERTA FIJA PERMANENTE"/>
    <s v="Seguimiento y Control / Seguimiento"/>
    <s v="Sistema (Automático)"/>
    <s v="SC_37.2"/>
    <s v="Si se genera la Alerta, debe aparecer un mensaje en la zona superiro de la Pestaña de Seguimiento de Modelos (Registro Seguimiento), informando todos los modelos relacionados a los cuales les afecta la descalibración. Esto se puede ver desde &quot;Relacion de Modelos&quot; en la etapa de desarrollo."/>
    <s v="No"/>
    <s v="2026-08-06"/>
    <x v="1"/>
    <s v="N/A"/>
  </r>
  <r>
    <x v="1"/>
    <s v="Seguimiento y Control"/>
    <s v="SC_37"/>
    <s v="Alto"/>
    <s v="CALIFICACIÓN DE SEGUIMIENTO ALERTA FIJA PERMANENTE"/>
    <s v="Seguimiento y Control / Seguimiento"/>
    <s v="Sistema (Automático)"/>
    <s v="SC_37.3"/>
    <s v="En futuros registros del mismo modelo, el campo Calificación aparece pre-cargado y bloqueado como &quot;Alerta&quot; y usuario no puede cambiarlo."/>
    <s v="No"/>
    <s v="2026-08-06"/>
    <x v="1"/>
    <s v="N/A"/>
  </r>
  <r>
    <x v="1"/>
    <s v="Seguimiento y Control"/>
    <s v="SC_38"/>
    <s v="Alto"/>
    <s v="BOTÓN DE PRÓRROGA CON ALERTA"/>
    <s v="Seguimiento y Control / Seguimiento"/>
    <s v="GRM_RESPO_SEG_EJECUTOR, GRM_RESPO_SEG_APROBADOR, GRM_REVISOR, GRM_ADMINISTRADOR"/>
    <s v="SC_38.1"/>
    <s v="Al ingresar al formulario de Seguimiento, que tenga la calificacion en &quot;Alerta&quot;, el botón &quot;Solicitar Prórroga&quot; aparece activo (en caso de que la clasificación sea distinta, el botón aparece desactivado)"/>
    <s v="No"/>
    <s v="2026-06-04"/>
    <x v="0"/>
    <s v="OK"/>
  </r>
  <r>
    <x v="1"/>
    <s v="Seguimiento y Control"/>
    <s v="SC_38"/>
    <s v="Alto"/>
    <s v="BOTÓN DE PRÓRROGA CON ALERTA"/>
    <s v="Seguimiento y Control / Seguimiento"/>
    <s v="GRM_RESPO_SEG_EJECUTOR, GRM_RESPO_SEG_APROBADOR, GRM_REVISOR, GRM_ADMINISTRADOR"/>
    <s v="SC_38.2"/>
    <s v="Al hacer clic en &quot;Solicitar Prórroga&quot;, el sistema abre modal simple con formulario &quot;Prorroga&quot;, al completar el formulario y guardar, se crea Alerta."/>
    <s v="No"/>
    <s v="2026-06-04"/>
    <x v="0"/>
    <s v="OK"/>
  </r>
  <r>
    <x v="1"/>
    <s v="Seguimiento y Control"/>
    <s v="SC_38"/>
    <s v="Alto"/>
    <s v="BOTÓN DE PRÓRROGA CON ALERTA"/>
    <s v="Seguimiento y Control / Seguimiento"/>
    <s v="GRM_RESPO_SEG_EJECUTOR, GRM_RESPO_SEG_APROBADOR, GRM_REVISOR, GRM_ADMINISTRADOR"/>
    <s v="SC_38.3"/>
    <s v="Para poder crear la prórroga, el sistema valida los siguientes puntos:"/>
    <s v="No"/>
    <s v="2026-06-04"/>
    <x v="0"/>
    <s v="OK"/>
  </r>
  <r>
    <x v="1"/>
    <s v="Seguimiento y Control"/>
    <s v="SC_38"/>
    <s v="Alto"/>
    <s v="BOTÓN DE PRÓRROGA CON ALERTA"/>
    <s v="Seguimiento y Control / Seguimiento"/>
    <s v="GRM_RESPO_SEG_EJECUTOR, GRM_RESPO_SEG_APROBADOR, GRM_REVISOR, GRM_ADMINISTRADOR"/>
    <s v="SC_38.4"/>
    <s v="El sistema muestra las siguientes alertas:"/>
    <s v="No"/>
    <s v="2026-06-04"/>
    <x v="3"/>
    <s v="POST"/>
  </r>
  <r>
    <x v="1"/>
    <s v="Seguimiento y Control"/>
    <s v="SC_39"/>
    <s v="Alto"/>
    <s v="ÍCONO DE ALERTA EN ROJO"/>
    <s v="Seguimiento y Control / Seguimiento"/>
    <s v="GRM_RESPO_SEG_APROBADOR, GRM_REVISOR, GRM_ADMINISTRADOR"/>
    <s v="SC_39.1"/>
    <s v="En el caso de ingresar/editar a formulario de seguimiento que tenga Calificación de Seguimiento en Alerta, se muestra ícono de &quot;fuego&quot; con color rojo."/>
    <s v="No"/>
    <s v="2026-06-04"/>
    <x v="0"/>
    <s v="OK"/>
  </r>
  <r>
    <x v="1"/>
    <s v="Seguimiento y Control"/>
    <s v="SC_40"/>
    <s v="Alto"/>
    <s v="COLUMNA CLASIFICACIÓN CON ÍCONO DE ALERTA"/>
    <s v="Seguimiento y Control / Seguimiento"/>
    <s v="Pueden visualizar GRM_DESA_EJECUTOR, GRM_DESA_APROBADOR, GRM_IMPLEM_EJECUTOR, GRM_IMPLEM_APROBADOR, GRM_RESPO_SEG_EJECUTOR, GRM_RESPO_SEG_APROBADOR, GRM_REVISOR, GRM_ADMINISTRADOR"/>
    <s v="SC_40.1"/>
    <s v="Al acceder a la pestaña Seguimiento, se visualiza grilla con clumna &quot;Calificación&quot;, y en las filas con Calificación en estado &quot;Alerta&quot;, aparece el ícono de alerta con color naranja/rojo (definido por mantenedor en SC_47)."/>
    <s v="No"/>
    <s v="2026-06-04"/>
    <x v="0"/>
    <s v="OK"/>
  </r>
  <r>
    <x v="1"/>
    <s v="Seguimiento y Control"/>
    <s v="SC_40"/>
    <s v="Alto"/>
    <s v="COLUMNA CLASIFICACIÓN CON ÍCONO DE ALERTA"/>
    <s v="Seguimiento y Control / Seguimiento"/>
    <s v="Pueden visualizar GRM_DESA_EJECUTOR, GRM_DESA_APROBADOR, GRM_IMPLEM_EJECUTOR, GRM_IMPLEM_APROBADOR, GRM_RESPO_SEG_EJECUTOR, GRM_RESPO_SEG_APROBADOR, GRM_REVISOR, GRM_ADMINISTRADOR"/>
    <s v="SC_40.2"/>
    <s v="Al pasar el mouse por sobre el ícono, un tooltip muestra: &quot;F.Alerta desde: [DD/MM/YYYY]&quot;"/>
    <s v="No"/>
    <s v="2026-06-04"/>
    <x v="0"/>
    <s v="OK"/>
  </r>
  <r>
    <x v="1"/>
    <s v="Seguimiento y Control"/>
    <s v="SC_40"/>
    <s v="Alto"/>
    <s v="COLUMNA CLASIFICACIÓN CON ÍCONO DE ALERTA"/>
    <s v="Seguimiento y Control / Seguimiento"/>
    <s v="Pueden visualizar GRM_DESA_EJECUTOR, GRM_DESA_APROBADOR, GRM_IMPLEM_EJECUTOR, GRM_IMPLEM_APROBADOR, GRM_RESPO_SEG_EJECUTOR, GRM_RESPO_SEG_APROBADOR, GRM_REVISOR, GRM_ADMINISTRADOR"/>
    <s v="SC_40.3"/>
    <s v="El ícono permanece visible en Todos los registros futuros del modelo, no desaparece."/>
    <s v="No"/>
    <s v="2026-06-04"/>
    <x v="0"/>
    <s v="OK"/>
  </r>
  <r>
    <x v="1"/>
    <s v="Seguimiento y Control"/>
    <s v="SC_41"/>
    <s v="Alto"/>
    <s v="VENTANA DE SOLICITUDES DE PRÓRROGA"/>
    <s v="Seguimiento y Control / Seguimiento / Prorroga"/>
    <s v="GRM_RESPO_SEG_EJECUTOR, GRM_RESPO_SEG_APROBADOR, GRM_REVISOR, GRM_ADMINISTRADOR"/>
    <s v="SC_41.1"/>
    <s v="Al presonar botón de “Solicitar Prórroga/Extensión” en el formulario, (sólo si modelo se encuentra en alerta), se despliega la ventana de solicitudes de Prorroga. Esta ventana muestra todas las solicitudes hechas e incluye un botón de Nueva Solicitud."/>
    <s v="No"/>
    <s v="2026-06-04"/>
    <x v="0"/>
    <s v="OK"/>
  </r>
  <r>
    <x v="1"/>
    <s v="Seguimiento y Control"/>
    <s v="SC_41"/>
    <s v="Alto"/>
    <s v="VENTANA DE SOLICITUDES DE PRÓRROGA"/>
    <s v="Seguimiento y Control / Seguimiento / Prorroga"/>
    <s v="GRM_RESPO_SEG_EJECUTOR, GRM_RESPO_SEG_APROBADOR, GRM_REVISOR, GRM_ADMINISTRADOR"/>
    <s v="SC_41.2"/>
    <s v="Al hacer clic en &quot;Nueva Solicitud&quot;, se puede completar con la justificación y plazo solicitado, además se puede adjuntar los documentos de soporte. Al presonar &quot;Solicitar&quot;, el sistema registra la solicitud y envía esta a revisión."/>
    <s v="No"/>
    <s v="2026-06-04"/>
    <x v="3"/>
    <s v="POST"/>
  </r>
  <r>
    <x v="1"/>
    <s v="Seguimiento y Control"/>
    <s v="SC_42"/>
    <s v="Alto"/>
    <s v="FORMULARIO DE PRÓRROGA"/>
    <s v="Seguimiento y Control / Seguimiento / Prorroga"/>
    <s v="visualizar"/>
    <s v="SC_42.1"/>
    <s v="Tras presionar botón “Solicitar Prórroga/Extensión” en el formulario y luego hacer clic en “Nueva Solicitud”, el formulario contiene los siguientes campos:"/>
    <s v="No"/>
    <s v="2026-06-09"/>
    <x v="0"/>
    <s v="OK"/>
  </r>
  <r>
    <x v="1"/>
    <s v="Seguimiento y Control"/>
    <s v="SC_42"/>
    <s v="Alto"/>
    <s v="FORMULARIO DE PRÓRROGA"/>
    <s v="Seguimiento y Control / Seguimiento / Prorroga"/>
    <s v="visualizar"/>
    <s v="SC_42.2"/>
    <s v="Tras presionar “Solicitar”, el sistema registra la solicitud y envía a revisión."/>
    <s v="No"/>
    <s v="2026-06-09"/>
    <x v="3"/>
    <s v="POST"/>
  </r>
  <r>
    <x v="1"/>
    <s v="Seguimiento y Control"/>
    <s v="SC_43"/>
    <s v="Alto"/>
    <s v="GRILLA Y BOTÓN NUEVO FES"/>
    <s v="Seguimiento y Control / Seguimiento / FES"/>
    <s v="GRM_DESA_EJECUTOR, GRM_DESA_APROBADOR, GRM_IMPLEM_EJECUTOR, GRM_IMPLEM_APROBADOR, GRM_RESPO_SEG_EJECUTOR, GRM_RESPO_SEG_APROBADOR, GRM_REVISOR, GRM_ADMINISTRADOR"/>
    <s v="SC_43.1"/>
    <s v="Al ingresar a la pestaña Formulario de Excepción (FES), se muestra la grilla de FES existentes y botón &quot;Nuevo FES&quot; para crear uno nuevo."/>
    <s v="No"/>
    <s v="2026-06-09"/>
    <x v="0"/>
    <s v="OK"/>
  </r>
  <r>
    <x v="1"/>
    <s v="Seguimiento y Control"/>
    <s v="SC_43"/>
    <s v="Alto"/>
    <s v="GRILLA Y BOTÓN NUEVO FES"/>
    <s v="Seguimiento y Control / Seguimiento / FES"/>
    <s v="GRM_DESA_EJECUTOR, GRM_DESA_APROBADOR, GRM_IMPLEM_EJECUTOR, GRM_IMPLEM_APROBADOR, GRM_RESPO_SEG_EJECUTOR, GRM_RESPO_SEG_APROBADOR, GRM_REVISOR, GRM_ADMINISTRADOR"/>
    <s v="SC_43.2"/>
    <s v="La grilla de FES muestra los siguientes campos:"/>
    <s v="No"/>
    <s v="2026-06-09"/>
    <x v="0"/>
    <s v="OK"/>
  </r>
  <r>
    <x v="1"/>
    <s v="Seguimiento y Control"/>
    <s v="SC_44"/>
    <s v="Alto"/>
    <s v="FORMULARIO FES CON DIFERENCIAS"/>
    <s v="Seguimiento y Control / Seguimiento / FES"/>
    <s v="GRM_DESA_EJECUTOR, GRM_DESA_APROBADOR, GRM_IMPLEM_EJECUTOR, GRM_IMPLEM_APROBADOR, GRM_RESPO_SEG_EJECUTOR, GRM_RESPO_SEG_APROBADOR, GRM_REVISOR, GRM_ADMINISTRADOR"/>
    <s v="SC_44.1"/>
    <s v="Tras presionar el botón &quot;Nuevo FES&quot;, se puede llenar el formulario, el cual presenta los siguientes campos:"/>
    <s v="No"/>
    <s v="2026-06-09"/>
    <x v="0"/>
    <s v="OK"/>
  </r>
  <r>
    <x v="1"/>
    <s v="Seguimiento y Control"/>
    <s v="SC_44"/>
    <s v="Alto"/>
    <s v="FORMULARIO FES CON DIFERENCIAS"/>
    <s v="Seguimiento y Control / Seguimiento / FES"/>
    <s v="GRM_DESA_EJECUTOR, GRM_DESA_APROBADOR, GRM_IMPLEM_EJECUTOR, GRM_IMPLEM_APROBADOR, GRM_RESPO_SEG_EJECUTOR, GRM_RESPO_SEG_APROBADOR, GRM_REVISOR, GRM_ADMINISTRADOR"/>
    <s v="SC_44.2"/>
    <s v="Al completar las secciones del formulario, y presionar &quot;Enviar a Revisión&quot;, el sistema registra el formulario y avanza en el flujo."/>
    <s v="No"/>
    <s v="2026-06-09"/>
    <x v="0"/>
    <s v="OK"/>
  </r>
  <r>
    <x v="1"/>
    <s v="Seguimiento y Control"/>
    <s v="SC_44"/>
    <s v="Alto"/>
    <s v="FORMULARIO FES CON DIFERENCIAS"/>
    <s v="Seguimiento y Control / Seguimiento / FES"/>
    <s v="GRM_DESA_EJECUTOR, GRM_DESA_APROBADOR, GRM_IMPLEM_EJECUTOR, GRM_IMPLEM_APROBADOR, GRM_RESPO_SEG_EJECUTOR, GRM_RESPO_SEG_APROBADOR, GRM_REVISOR, GRM_ADMINISTRADOR"/>
    <s v="SC_44.3"/>
    <s v="El sistema muestra las siguientes alertas:"/>
    <s v="No"/>
    <s v="2026-06-09"/>
    <x v="0"/>
    <s v="OK"/>
  </r>
  <r>
    <x v="1"/>
    <s v="Seguimiento y Control"/>
    <s v="SC_45"/>
    <s v="Alto"/>
    <s v="DESCARGA DE DOCUMENTO FES"/>
    <s v="Seguimiento y Control / Seguimiento / FES"/>
    <s v="GRM_REVISOR, GRM_ADMINISTRADOR"/>
    <s v="SC_45.1"/>
    <s v="Al existir un FES con estado Finalizado, se muestra un botón &quot;Descargar Documento FES&quot; en la región de acciones."/>
    <s v="No"/>
    <s v="2026-06-09"/>
    <x v="0"/>
    <s v="OK"/>
  </r>
  <r>
    <x v="1"/>
    <s v="Seguimiento y Control"/>
    <s v="SC_45"/>
    <s v="Alto"/>
    <s v="DESCARGA DE DOCUMENTO FES"/>
    <s v="Seguimiento y Control / Seguimiento / FES"/>
    <s v="GRM_REVISOR, GRM_ADMINISTRADOR"/>
    <s v="SC_45.2"/>
    <s v="Al presionar el botón de descargar, se puede seleccionar el formato deseado de descarga (HTML o PDF), luego el sistema genera el documento y se descarga."/>
    <s v="No"/>
    <s v="2026-06-09"/>
    <x v="0"/>
    <s v="OK"/>
  </r>
  <r>
    <x v="1"/>
    <s v="Seguimiento y Control"/>
    <s v="SC_45"/>
    <s v="Alto"/>
    <s v="DESCARGA DE DOCUMENTO FES"/>
    <s v="Seguimiento y Control / Seguimiento / FES"/>
    <s v="GRM_REVISOR, GRM_ADMINISTRADOR"/>
    <s v="SC_45.3"/>
    <s v="El sistema registra la descarga en los logs de auditoría."/>
    <s v="No"/>
    <s v="2026-06-09"/>
    <x v="0"/>
    <s v="OK"/>
  </r>
  <r>
    <x v="1"/>
    <s v="Seguimiento y Control"/>
    <s v="SC_45"/>
    <s v="Alto"/>
    <s v="DESCARGA DE DOCUMENTO FES"/>
    <s v="Seguimiento y Control / Seguimiento / FES"/>
    <s v="GRM_REVISOR, GRM_ADMINISTRADOR"/>
    <s v="SC_45.4"/>
    <s v="El sistema sólo permite visulización del módulo a usuarios con permisos (GRM_REVISOR, GRM_ADMINISTRADOR )"/>
    <s v="No"/>
    <s v="2026-06-09"/>
    <x v="0"/>
    <s v="OK"/>
  </r>
  <r>
    <x v="1"/>
    <s v="Seguimiento y Control"/>
    <s v="SC_45"/>
    <s v="Alto"/>
    <s v="DESCARGA DE DOCUMENTO FES"/>
    <s v="Seguimiento y Control / Seguimiento / FES"/>
    <s v="GRM_REVISOR, GRM_ADMINISTRADOR"/>
    <s v="SC_45.5"/>
    <s v="El sistema muestra las siguientes alertas:}"/>
    <s v="No"/>
    <s v="2026-06-09"/>
    <x v="0"/>
    <s v="OK"/>
  </r>
  <r>
    <x v="1"/>
    <s v="Seguimiento y Control"/>
    <s v="SC_46"/>
    <s v="Alto"/>
    <s v="FLUJO DEL FORMULARIO FES"/>
    <s v="Seguimiento y Control / Seguimiento / FES"/>
    <s v="GRM_DESA_EJECUTOR, GRM_DESA_APROBADOR, GRM_IMPLEM_EJECUTOR, GRM_IMPLEM_APROBADOR, GRM_RESPO_SEG_EJECUTOR, GRM_RESPO_SEG_APROBADOR, GRM_REVISOR, GRM_ADMINISTRADOR"/>
    <s v="SC_46.1"/>
    <s v="El formulario FES está implementado replicando la arquitectura del flujo FEV existente, manteniendo exacta compatibilidad con las siguientes etapas secuenciales:"/>
    <s v="No"/>
    <s v="2026-06-09"/>
    <x v="0"/>
    <s v="OK"/>
  </r>
  <r>
    <x v="1"/>
    <s v="Seguimiento y Control"/>
    <s v="SC_47"/>
    <s v="Alto"/>
    <s v="MANTENEDOR COLUMNA CLASIFICACIÓN CON ÍCONO DE ALERTA"/>
    <s v="Seguimiento y Control / Seguimiento"/>
    <s v="GRM_ADMINISTRADOR"/>
    <s v="SC_47.1"/>
    <s v="Un usuario con rol GRM_ADMINISTRADOR al acceder al mantenedor de la columna Calificación, puede ver la configuración visual asociada a la columna, incluyendo ícono, estilo, color y comportamiento tooltip definido para estado de alerta."/>
    <s v="No"/>
    <s v="2026-06-09"/>
    <x v="2"/>
    <s v="OBS"/>
  </r>
  <r>
    <x v="1"/>
    <s v="Seguimiento y Control"/>
    <s v="SC_47"/>
    <s v="Alto"/>
    <s v="MANTENEDOR COLUMNA CLASIFICACIÓN CON ÍCONO DE ALERTA"/>
    <s v="Seguimiento y Control / Seguimiento"/>
    <s v="GRM_ADMINISTRADOR"/>
    <s v="SC_47.2"/>
    <s v="Se puede editar acciones y agregar nuevas Calificaciones y el sistema aplica la personalización en la grilla de Registros de Seguimiento y muestra el ícono de alerta en los modelos cuya clasificación corresponda."/>
    <s v="No"/>
    <s v="2026-06-09"/>
    <x v="0"/>
    <s v="OK"/>
  </r>
  <r>
    <x v="1"/>
    <s v="Seguimiento y Control"/>
    <s v="SC_47"/>
    <s v="Alto"/>
    <s v="MANTENEDOR COLUMNA CLASIFICACIÓN CON ÍCONO DE ALERTA"/>
    <s v="Seguimiento y Control / Seguimiento"/>
    <s v="GRM_ADMINISTRADOR"/>
    <s v="SC_47.3"/>
    <s v="El sistema muestra las siguientes alertas:"/>
    <s v="No"/>
    <s v="2026-06-09"/>
    <x v="0"/>
    <s v="OK"/>
  </r>
  <r>
    <x v="2"/>
    <s v="Gobierno"/>
    <s v="G_1"/>
    <s v="ALTA"/>
    <s v="CREACIÓN DEL MÓDULO INFORMACIÓN DE GOBIERNO:"/>
    <s v="Gobierno"/>
    <s v="GRM_SECR_COMITE, GRM_REVISOR, GRM_ADMINISTRADOR"/>
    <s v="G_1.1"/>
    <s v="Dentro del menú principal de la aplicación GRM, se visualiza la opción &quot;Información de Gobierno&quot; solo para usuarios con roles autorizados"/>
    <s v="No"/>
    <s v="2026-06-05"/>
    <x v="0"/>
    <s v="OK"/>
  </r>
  <r>
    <x v="2"/>
    <s v="Gobierno"/>
    <s v="G_1"/>
    <s v="ALTA"/>
    <s v="Se debe generar el nuevo módulo “Información de Gobierno”, sólo visibles para secretarios de comité, revisores y administrador"/>
    <s v="Gobierno"/>
    <s v="GRM_SECR_COMITE, GRM_REVISOR, GRM_ADMINISTRADOR"/>
    <s v="G_1.2"/>
    <s v="El usuario autorizado, una vez dentro del módulo, visualiza 3 secciones de información:"/>
    <s v="No"/>
    <s v="2026-06-05"/>
    <x v="0"/>
    <s v="OK"/>
  </r>
  <r>
    <x v="2"/>
    <s v="Gobierno"/>
    <s v="G_2"/>
    <s v="MEDIA"/>
    <s v="PANTALLA DE ASOCIACIÓN DE MODELOS A COMITÉ:"/>
    <s v="Gobierno / Secretario de Comité / buscar"/>
    <s v="GRM_SECR_COMITE, GRM_REVISOR, GRM_ADMINISTRADOR"/>
    <s v="G_2.1"/>
    <s v="El sistema muestra la pantalla de búsqueda de comités con los campos:"/>
    <s v="No"/>
    <s v="2026-06-08"/>
    <x v="0"/>
    <s v="OK"/>
  </r>
  <r>
    <x v="2"/>
    <s v="Gobierno"/>
    <s v="G_2"/>
    <s v="MEDIA"/>
    <s v="PANTALLA DE ASOCIACIÓN DE MODELOS A COMITÉ:"/>
    <s v="Gobierno / Secretario de Comité / buscar"/>
    <s v="GRM_SECR_COMITE, GRM_REVISOR, GRM_ADMINISTRADOR"/>
    <s v="G_2.2"/>
    <s v="Al seleccionar una Instancia y una Fecha válida y ejecutar la búsqueda, el sistema presenta los registros de gobierno existentes con la siguiente información:"/>
    <s v="No"/>
    <s v="2026-06-09"/>
    <x v="0"/>
    <s v="OK"/>
  </r>
  <r>
    <x v="2"/>
    <s v="Gobierno"/>
    <s v="G_2"/>
    <s v="MEDIA"/>
    <s v="PANTALLA DE ASOCIACIÓN DE MODELOS A COMITÉ:"/>
    <s v="Gobierno / Secretario de Comité / buscar"/>
    <s v="GRM_SECR_COMITE, GRM_REVISOR, GRM_ADMINISTRADOR"/>
    <s v="G_2.3"/>
    <s v="Si la búsqueda no retorna resultados, el sistema muestra la alerta: &quot;No existen registros para el comité y fecha seleccionados. ¿Desea crear uno nuevo?&quot;. Si el usuario selecciona “Sí”, el sistema crea el comité mediante la lógica de negocio, actualiza el identificador y refresca la pantalla mostrando los modelos asociados."/>
    <s v="No"/>
    <s v="2026-08-10"/>
    <x v="0"/>
    <s v="OK"/>
  </r>
  <r>
    <x v="2"/>
    <s v="Gobierno"/>
    <s v="G_2"/>
    <s v="MEDIA"/>
    <s v="PANTALLA DE ASOCIACIÓN DE MODELOS A COMITÉ:"/>
    <s v="Gobierno / Secretario de Comité / buscar"/>
    <s v="GRM_SECR_COMITE, GRM_REVISOR, GRM_ADMINISTRADOR"/>
    <s v="G_2.4"/>
    <s v="El botón Acta permanece deshabilitado mientras no exista un comité asociado a la combinación Instancia + Fecha"/>
    <s v="No"/>
    <s v="2026-06-09"/>
    <x v="0"/>
    <s v="OK"/>
  </r>
  <r>
    <x v="2"/>
    <s v="Gobierno"/>
    <s v="G_2"/>
    <s v="MEDIA"/>
    <s v="PANTALLA DE ASOCIACIÓN DE MODELOS A COMITÉ:"/>
    <s v="Gobierno / Secretario de Comité / buscar"/>
    <s v="GRM_SECR_COMITE, GRM_REVISOR, GRM_ADMINISTRADOR"/>
    <s v="G_2.5"/>
    <s v="Una vez que existe un comité (resultado de búsqueda o creación), el botón Acta se habilita y permite navegar correctamente al módulo de carga/gestión de documentos, traspasando el identificador del comité (P_GOBIERNO_ID)."/>
    <s v="No"/>
    <s v="2026-08-06"/>
    <x v="1"/>
    <s v="N/A"/>
  </r>
  <r>
    <x v="2"/>
    <s v="Gobierno"/>
    <s v="G_3"/>
    <s v="MEDIA"/>
    <s v="CAMPOS PARA MODELOS RELACIONADOS AL ACTA:"/>
    <s v="Gobierno / Secretario de Comité / Nuevo"/>
    <s v="GRM_SECR_COMITE, GRM_REVISOR"/>
    <s v="G_3.1"/>
    <s v="El usuario puede seleccionar uno o múltiples modelos mediante el componente de selección. El sistema permite asociar los modelos al acta por medio del botón &quot;Agregar&quot;. En caso de intentar asociar un modelo que ya se encuentra relacionado, el sistema muestra una alerta o advertencia indicando la situación."/>
    <s v="No"/>
    <s v="2026-06-09"/>
    <x v="0"/>
    <s v="OK"/>
  </r>
  <r>
    <x v="2"/>
    <s v="Gobierno"/>
    <s v="G_3"/>
    <s v="MEDIA"/>
    <s v="CAMPOS PARA MODELOS RELACIONADOS AL ACTA:"/>
    <s v="Gobierno / Secretario de Comité / Nuevo"/>
    <s v="GRM_SECR_COMITE, GRM_REVISOR"/>
    <s v="G_3.2"/>
    <s v="El campo Excepción de Lineamiento carga valores desde el mantenedor correspondiente. Cuando es obligatorio, el sistema valida su ingreso y, en caso de estar vacío al intentar grabar o enviar, muestra la alerta: &quot;Complete todos los campos obligatorios antes de continuar&quot;."/>
    <s v="No"/>
    <s v="2026-07-15"/>
    <x v="0"/>
    <s v="OK"/>
  </r>
  <r>
    <x v="2"/>
    <s v="Gobierno"/>
    <s v="G_3"/>
    <s v="MEDIA"/>
    <s v="CAMPOS PARA MODELOS RELACIONADOS AL ACTA:"/>
    <s v="Gobierno / Secretario de Comité / Nuevo"/>
    <s v="GRM_SECR_COMITE, GRM_REVISOR"/>
    <s v="G_3.3"/>
    <s v="Al presionar “Enviar a Revisión” con información válida, el sistema muestra la alerta de confirmación: &quot;¿Está seguro de enviar a revisión? Esta acción no se puede deshacer&quot;. Si el usuario confirma, el sistema ejecuta el cambio de estado correspondiente."/>
    <s v="No"/>
    <s v="2026-06-09"/>
    <x v="1"/>
    <s v="N/A"/>
  </r>
  <r>
    <x v="2"/>
    <s v="Gobierno"/>
    <s v="G_4"/>
    <s v="MEDIA"/>
    <s v="NOTIFICACIÓN AL REVISOR:"/>
    <s v="Gobierno / Secretario de Comité / Nuevo"/>
    <s v="Sistema (Automatico)"/>
    <s v="G_4.1"/>
    <s v="Al presionar el botón “Enviar a Revisión”, el sistema valida que el acta cumpla con las condiciones definidas: existencia de modelos asociados y completitud de los datos del acta. Si las validaciones fallan, el sistema muestra la alerta: &quot;El acta no puede enviarse a revisión. Verifique que todos los campos estén completos&quot;."/>
    <s v="No"/>
    <s v="2026-06-11"/>
    <x v="1"/>
    <s v="N/A"/>
  </r>
  <r>
    <x v="2"/>
    <s v="Gobierno"/>
    <s v="G_4"/>
    <s v="MEDIA"/>
    <s v="NOTIFICACIÓN AL REVISOR:"/>
    <s v="Gobierno / Secretario de Comité / Nuevo"/>
    <s v="Sistema (Automatico)"/>
    <s v="G_4.2"/>
    <s v="Si el acta se encuentra en estado distinto de &quot;Borrador&quot; o &quot;En Corrección&quot;, el sistema no permite el envío a revisión y muestra la alerta: &quot;El acta no puede enviarse a revisión. Verifique que todos los campos estén completos&quot;."/>
    <s v="No"/>
    <s v="2026-06-11"/>
    <x v="1"/>
    <s v="N/A"/>
  </r>
  <r>
    <x v="2"/>
    <s v="Gobierno"/>
    <s v="G_4"/>
    <s v="MEDIA"/>
    <s v="NOTIFICACIÓN AL REVISOR:"/>
    <s v="Gobierno / Secretario de Comité / Nuevo"/>
    <s v="Sistema (Automatico)"/>
    <s v="G_4.3"/>
    <s v="Al presionar el botón “Enviar a Revisión” con el acta válida, el sistema muestra la alerta de confirmación: &quot;¿Está seguro de enviar a revisión? Esta acción no se puede deshacer&quot;."/>
    <s v="No"/>
    <s v="2026-06-11"/>
    <x v="1"/>
    <s v="N/A"/>
  </r>
  <r>
    <x v="2"/>
    <s v="Gobierno"/>
    <s v="G_4"/>
    <s v="MEDIA"/>
    <s v="NOTIFICACIÓN AL REVISOR:"/>
    <s v="Gobierno / Secretario de Comité / Nuevo"/>
    <s v="Sistema (Automatico)"/>
    <s v="G_4.4"/>
    <s v="Al confirmar el envío, el sistema realiza las siguientes acciones: cambia el estado del acta a &quot;Pendiente de Revisión&quot;, registra el evento en el historial y genera una notificación para los usuarios con rol GRM_REVISOR."/>
    <s v="No"/>
    <s v="2026-06-11"/>
    <x v="1"/>
    <s v="N/A"/>
  </r>
  <r>
    <x v="2"/>
    <s v="Gobierno"/>
    <s v="G_4"/>
    <s v="MEDIA"/>
    <s v="NOTIFICACIÓN AL REVISOR:"/>
    <s v="Gobierno / Secretario de Comité / Nuevo"/>
    <s v="Sistema (Automatico)"/>
    <s v="G_4.5"/>
    <s v="La notificación generada debe estar disponible en el sistema (campanita APEX) y contener la información definida: fecha del comité, nombre de la instancia, lista resumida de modelos asociados y enlace al registro correspondiente."/>
    <s v="No"/>
    <s v="2026-06-11"/>
    <x v="1"/>
    <s v="N/A"/>
  </r>
  <r>
    <x v="2"/>
    <s v="Gobierno"/>
    <s v="G_4"/>
    <s v="MEDIA"/>
    <s v="NOTIFICACIÓN AL REVISOR:"/>
    <s v="Gobierno / Secretario de Comité / Nuevo"/>
    <s v="Sistema (Automatico)"/>
    <s v="G_4.6"/>
    <s v="En el caso de que no existan modelos asociados al acta, el sistema muestra una advertencia antes de continuar con el proceso de envío, según lo definido en los flujos alternativos."/>
    <s v="No"/>
    <s v="2026-06-11"/>
    <x v="1"/>
    <s v="N/A"/>
  </r>
  <r>
    <x v="2"/>
    <s v="Gobierno"/>
    <s v="G_5"/>
    <s v="MEDIA"/>
    <s v="BOTÓN REPARAR PARA REVISORES:"/>
    <s v="Gobierno / Revisor / Reparar"/>
    <s v="Sistema (Automatico), GRM_REVISOR, GRM_ADMINISTRADOR"/>
    <s v="G_5.1"/>
    <s v="El botón &quot;Reparar&quot; es visible únicamente para usuarios con rol GRM_REVISOR. Usuarios con otros roles no visualizan el botón en la interfaz."/>
    <s v="No"/>
    <s v="2026-06-11"/>
    <x v="1"/>
    <s v="N/A"/>
  </r>
  <r>
    <x v="2"/>
    <s v="Gobierno"/>
    <s v="G_5"/>
    <s v="MEDIA"/>
    <s v="BOTÓN REPARAR PARA REVISORES:"/>
    <s v="Gobierno / Revisor / Reparar"/>
    <s v="Sistema (Automatico), GRM_REVISOR, GRM_ADMINISTRADOR"/>
    <s v="G_5.2"/>
    <s v="Al presionar el botón &quot;Reparar&quot;, el sistema despliega un modal que contiene los campos:"/>
    <s v="No"/>
    <s v="2026-06-11"/>
    <x v="1"/>
    <s v="N/A"/>
  </r>
  <r>
    <x v="2"/>
    <s v="Gobierno"/>
    <s v="G_5"/>
    <s v="MEDIA"/>
    <s v="BOTÓN REPARAR PARA REVISORES:"/>
    <s v="Gobierno / Revisor / Reparar"/>
    <s v="Sistema (Automatico), GRM_REVISOR, GRM_ADMINISTRADOR"/>
    <s v="G_5.4"/>
    <s v="Al completar el formulario y confirmar la acción, el sistema muestra la alerta: &quot;¿Está seguro de devolver esta acta para corrección? Esta acción será registrada en el historial&quot;."/>
    <s v="No"/>
    <s v="2026-06-11"/>
    <x v="1"/>
    <s v="N/A"/>
  </r>
  <r>
    <x v="2"/>
    <s v="Gobierno"/>
    <s v="G_5"/>
    <s v="MEDIA"/>
    <s v="BOTÓN REPARAR PARA REVISORES:"/>
    <s v="Gobierno / Revisor / Reparar"/>
    <s v="Sistema (Automatico), GRM_REVISOR, GRM_ADMINISTRADOR"/>
    <s v="G_5.5"/>
    <s v="Al confirmar la acción de reparación, el sistema inserta el registro de corrección, cambia el estado del acta a &quot;EN_CORRECCION&quot;, registra el evento en el historial y genera una notificación dirigida al rol GRM_SECR_COMITE."/>
    <s v="No"/>
    <s v="2026-06-11"/>
    <x v="1"/>
    <s v="N/A"/>
  </r>
  <r>
    <x v="2"/>
    <s v="Gobierno"/>
    <s v="G_6"/>
    <s v="MEDIA"/>
    <s v="PRECARGA DE MODELOS EN REGISTROS ENCONTRADOS:"/>
    <s v="Gobierno / Secretario de Comité / registros encontrados"/>
    <s v="GRM_SECR_COMITE, GRM_REVISOR, GRM_ADMINISTRADOR"/>
    <s v="G_6.1"/>
    <s v="Al seleccionar una instancia de comité y una fecha con registros existentes, el sistema precarga automáticamente la información del acta incluyendo:"/>
    <s v="No"/>
    <s v="2026-06-09"/>
    <x v="0"/>
    <s v="OK"/>
  </r>
  <r>
    <x v="2"/>
    <s v="Gobierno"/>
    <s v="G_6"/>
    <s v="MEDIA"/>
    <s v="PRECARGA DE MODELOS EN REGISTROS ENCONTRADOS:"/>
    <s v="Gobierno / Secretario de Comité / registros encontrados"/>
    <s v="GRM_SECR_COMITE, GRM_REVISOR, GRM_ADMINISTRADOR"/>
    <s v="G_6.2"/>
    <s v="El sistema permite la edición de los datos precargados según el rol del usuario: el Secretario de Comité puede editar los campos disponibles y el Revisor puede editar, agregar o quitar modelos. El estado del acta se presenta como solo lectura."/>
    <s v="No"/>
    <s v="2026-07-15"/>
    <x v="0"/>
    <s v="OK"/>
  </r>
  <r>
    <x v="2"/>
    <s v="Gobierno"/>
    <s v="G_6"/>
    <s v="MEDIA"/>
    <s v="PRECARGA DE MODELOS EN REGISTROS ENCONTRADOS:"/>
    <s v="Gobierno / Secretario de Comité / registros encontrados"/>
    <s v="GRM_SECR_COMITE, GRM_REVISOR, GRM_ADMINISTRADOR"/>
    <s v="G_6.3"/>
    <s v="Si el registro se encuentra en estado no editable (por ejemplo en revisión o equivalente), el sistema muestra los campos en modo solo lectura, impidiendo modificaciones. Asimismo, si el usuario no tiene permisos de edición, se restringe la modificación de los datos."/>
    <s v="No"/>
    <s v="2026-07-21"/>
    <x v="0"/>
    <s v="OK"/>
  </r>
  <r>
    <x v="2"/>
    <s v="Gobierno"/>
    <s v="G_6"/>
    <s v="MEDIA"/>
    <s v="PRECARGA DE MODELOS EN REGISTROS ENCONTRADOS:"/>
    <s v="Gobierno / Secretario de Comité / registros encontrados"/>
    <s v="GRM_SECR_COMITE, GRM_REVISOR, GRM_ADMINISTRADOR"/>
    <s v="G_6.4"/>
    <s v="El sistema permite gestionar los modelos asociados: agregar nuevos modelos validando que no existan duplicados, y eliminar modelos previamente asociados. Al eliminar un modelo, el sistema muestra la alerta: &quot;¿Está seguro de quitar este modelo? Se eliminará la asociación&quot; y, al confirmar, actualiza la relación correspondiente en la base de datos."/>
    <s v="No"/>
    <s v="2026-06-09"/>
    <x v="0"/>
    <s v="OK"/>
  </r>
  <r>
    <x v="2"/>
    <s v="Gobierno"/>
    <s v="G_7"/>
    <s v="MEDIA"/>
    <s v="CARGA DE DOCUMENTOS CON PERMISOS:"/>
    <s v="Gobierno / Secretario de Comité / Nuevo"/>
    <s v="GRM_SECR_COMITE, GRM_REVISOR, GRM_ADMINISTRADOR"/>
    <s v="G_7.1"/>
    <s v="Al presionar el botón Acta, el sistema abre la funcionalidad transversal de carga de documentos, permitiendo seleccionar un archivo, configurar permisos mediante el campo correspondiente y asociar el documento al acta en curso."/>
    <s v="No"/>
    <s v="2026-06-09"/>
    <x v="0"/>
    <s v="OK"/>
  </r>
  <r>
    <x v="2"/>
    <s v="Gobierno"/>
    <s v="G_7"/>
    <s v="MEDIA"/>
    <s v="CARGA DE DOCUMENTOS CON PERMISOS:"/>
    <s v="Gobierno / Secretario de Comité / Nuevo"/>
    <s v="GRM_SECR_COMITE, GRM_REVISOR, GRM_ADMINISTRADOR"/>
    <s v="G_7.2"/>
    <s v="El sistema permite definir los permisos de visualización del documento seleccionando roles en el campo correspondiente, validando que se seleccione al menos un rol. Independiente de la configuración, los roles GRM_REVISOR y GRM_ADMINISTRADOR siempre tienen acceso, mostrando la alerta: &quot;El revisor y administrador siempre tendrán acceso a este documento&quot;."/>
    <s v="No"/>
    <s v="2026-08-06"/>
    <x v="1"/>
    <s v="N/A"/>
  </r>
  <r>
    <x v="2"/>
    <s v="Gobierno"/>
    <s v="G_7"/>
    <s v="MEDIA"/>
    <s v="CARGA DE DOCUMENTOS CON PERMISOS:"/>
    <s v="Gobierno / Secretario de Comité / Nuevo"/>
    <s v="GRM_SECR_COMITE, GRM_REVISOR, GRM_ADMINISTRADOR"/>
    <s v="G_7.3"/>
    <s v="El sistema valida la carga del documento considerando formatos permitidos (PDF, DOCX, XLSX) y tamaño máximo configurado (Configurable en el sistema). En caso de incumplimiento, el sistema muestra la alerta: &quot;Error al cargar el documento. Formato no válido o tamaño excedido&quot;."/>
    <s v="No"/>
    <s v="2026-07-21"/>
    <x v="0"/>
    <s v="OK"/>
  </r>
  <r>
    <x v="2"/>
    <s v="Gobierno"/>
    <s v="G_7"/>
    <s v="MEDIA"/>
    <s v="CARGA DE DOCUMENTOS CON PERMISOS:"/>
    <s v="Gobierno / Secretario de Comité / Nuevo"/>
    <s v="GRM_SECR_COMITE, GRM_REVISOR, GRM_ADMINISTRADOR"/>
    <s v="G_7.4"/>
    <s v="Si el documento ya existe para el acta, el sistema solicita confirmación mediante la alerta: &quot;¿Desea reemplazar el documento existente?&quot;, permitiendo al usuario decidir si reemplaza o conserva el documento actual."/>
    <s v="No"/>
    <s v="2026-07-21"/>
    <x v="0"/>
    <s v="OK"/>
  </r>
  <r>
    <x v="2"/>
    <s v="Gobierno"/>
    <s v="G_7"/>
    <s v="MEDIA"/>
    <s v="CARGA DE DOCUMENTOS CON PERMISOS:"/>
    <s v="Gobierno / Secretario de Comité / Nuevo"/>
    <s v="GRM_SECR_COMITE, GRM_REVISOR, GRM_ADMINISTRADOR"/>
    <s v="G_7.5"/>
    <s v="Al cargar correctamente el documento con los permisos configurados, el sistema guarda la información, asocia el documento al acta y muestra la alerta: &quot;Documento cargado exitosamente con los permisos configurados&quot;."/>
    <s v="No"/>
    <s v="2026-06-09"/>
    <x v="1"/>
    <s v="N/A"/>
  </r>
  <r>
    <x v="2"/>
    <s v="Gobierno"/>
    <s v="G_8"/>
    <s v="BAJA"/>
    <s v="PERMISOS DE EDICIÓN DEL REVISOR:"/>
    <s v="Gobierno / Revisor"/>
    <s v="GRM_REVISOR, GRM_ADMINISTRADOR"/>
    <s v="G_8.1"/>
    <s v="El sistema permite la edición de los datos del acta únicamente a usuarios con rol GRM_SECR_COMITE, GRM_REVISOR o GRM_ADMINISTRADOR, validando el esquema de autorización correspondiente. En caso de no contar con permisos, el sistema bloquea la acción y muestra la alerta: &quot;No tiene permisos para realizar esta acción&quot;"/>
    <s v="No"/>
    <s v="2026-08-06"/>
    <x v="0"/>
    <s v="OK"/>
  </r>
  <r>
    <x v="2"/>
    <s v="Gobierno"/>
    <s v="G_8"/>
    <s v="BAJA"/>
    <s v="PERMISOS DE EDICIÓN DEL REVISOR:"/>
    <s v="Gobierno / Revisor"/>
    <s v="GRM_REVISOR, GRM_ADMINISTRADOR"/>
    <s v="G_8.2"/>
    <s v="El sistema permite la edición solo cuando el acta se encuentra en un estado válido. Si el acta está en estado &quot;Aceptada&quot; o &quot;Cerrada&quot;, el sistema no permite modificaciones, mostrando un mensaje o alerta indicando la restricción."/>
    <s v="No"/>
    <s v="2026-06-09"/>
    <x v="1"/>
    <s v="N/A"/>
  </r>
  <r>
    <x v="2"/>
    <s v="Gobierno"/>
    <s v="G_8"/>
    <s v="BAJA"/>
    <s v="PERMISOS DE EDICIÓN DEL REVISOR:"/>
    <s v="Gobierno / Revisor"/>
    <s v="GRM_REVISOR, GRM_ADMINISTRADOR"/>
    <s v="G_8.3"/>
    <s v="El revisor puede gestionar modelos asociados, incluyendo la opción de agregar o quitar modelos según lo definido en la funcionalidad."/>
    <s v="No"/>
    <s v="2026-06-09"/>
    <x v="0"/>
    <s v="OK"/>
  </r>
  <r>
    <x v="2"/>
    <s v="Gobierno"/>
    <s v="G_8"/>
    <s v="BAJA"/>
    <s v="PERMISOS DE EDICIÓN DEL REVISOR:"/>
    <s v="Gobierno / Revisor"/>
    <s v="GRM_REVISOR, GRM_ADMINISTRADOR"/>
    <s v="G_8.4"/>
    <s v="El sistema permite la eliminación de registros o modelos asociados. Antes de eliminar, el sistema solicita confirmación mediante la alerta: &quot;¿Está seguro de eliminar este registro? Esta acción no se puede deshacer y será auditada&quot; o, en el caso de modelos, la alerta: &quot;¿Está seguro de quitar este modelo? Se eliminará la asociación&quot;. Al confirmar, el sistema ejecuta la eliminación correspondiente."/>
    <s v="No"/>
    <s v="2026-06-09"/>
    <x v="1"/>
    <s v="N/A"/>
  </r>
  <r>
    <x v="2"/>
    <s v="Gobierno"/>
    <s v="G_9"/>
    <s v="MEDIA"/>
    <s v="REGISTRO DE INFORMACIÓN ACEPTADA:"/>
    <s v="Gobierno / Revisor / Aceptar"/>
    <s v="GRM_REVISOR, GRM_ADMINISTRADOR"/>
    <s v="G_9.1"/>
    <s v="El sistema permite ejecutar la acción de aceptar el acta solo a usuarios con rol GRM_REVISOR o GRM_ADMINISTRADOR, validando además que el acta se encuentre en estado &quot;Revisión&quot; y que los campos obligatorios del acta estén completos, incluyendo la existencia de modelos asociados. En caso de incumplimiento, el sistema muestra la alerta: &quot;No se puede aceptar el acta. Verifique que todos los campos estén completos&quot;."/>
    <s v="No"/>
    <s v="2026-06-11"/>
    <x v="1"/>
    <s v="N/A"/>
  </r>
  <r>
    <x v="2"/>
    <s v="Gobierno"/>
    <s v="G_9"/>
    <s v="MEDIA"/>
    <s v="REGISTRO DE INFORMACIÓN ACEPTADA:"/>
    <s v="Gobierno / Revisor / Aceptar"/>
    <s v="GRM_REVISOR, GRM_ADMINISTRADOR"/>
    <s v="G_9.2"/>
    <s v="Al presionar el botón &quot;Aceptar&quot; con información válida, el sistema muestra la alerta de confirmación: &quot;¿Está seguro de aceptar esta acta? Esta acción es irreversible y actualizará el ciclo de vida de los modelos&quot;, previo a ejecutar la operación."/>
    <s v="No"/>
    <s v="2026-06-11"/>
    <x v="1"/>
    <s v="N/A"/>
  </r>
  <r>
    <x v="2"/>
    <s v="Gobierno"/>
    <s v="G_9"/>
    <s v="MEDIA"/>
    <s v="REGISTRO DE INFORMACIÓN ACEPTADA:"/>
    <s v="Gobierno / Revisor / Aceptar"/>
    <s v="GRM_REVISOR, GRM_ADMINISTRADOR"/>
    <s v="G_9.3"/>
    <s v="Al confirmar la acción, el sistema ejecuta el proceso de aceptación de forma transaccional, registrando la información en la base de datos, actualizando el estado del acta a &quot;Aprobada&quot;, registrando los datos de auditoría y aplicando las actualizaciones correspondientes sobre los modelos asociados."/>
    <s v="No"/>
    <s v="2026-06-11"/>
    <x v="1"/>
    <s v="N/A"/>
  </r>
  <r>
    <x v="2"/>
    <s v="Gobierno"/>
    <s v="G_9"/>
    <s v="MEDIA"/>
    <s v="REGISTRO DE INFORMACIÓN ACEPTADA:"/>
    <s v="Gobierno / Revisor / Aceptar"/>
    <s v="GRM_REVISOR, GRM_ADMINISTRADOR"/>
    <s v="G_9.4"/>
    <s v="Durante el proceso de aceptación, el sistema informa al usuario la cantidad de modelos afectados mediante la alerta: &quot;X modelos serán actualizados con la marca de gobierno completado&quot;, reflejando el impacto en los modelos asociados."/>
    <s v="No"/>
    <s v="2026-06-11"/>
    <x v="1"/>
    <s v="N/A"/>
  </r>
  <r>
    <x v="2"/>
    <s v="Gobierno"/>
    <s v="G_10"/>
    <s v="MEDIA"/>
    <s v="FINALIZACIÓN DE ETAPA DE GOBIERNO EN CICLO DE VIDA:"/>
    <s v="Gobierno / Revisor / Aceptar / Ciclo de Vida"/>
    <s v="GRM_REVISOR, GRM_ADMINISTRADOR"/>
    <s v="G_10.1"/>
    <s v="Posterior a la aceptación de un acta, el sistema ejecuta automáticamente el proceso de actualización del ciclo de vida de los modelos asociados, validando que la etapa de Gobierno se encuentre activada. Para los modelos que cumplen la condición, se actualiza el indicador correspondiente y se registra la fecha de completitud."/>
    <s v="No"/>
    <s v="2026-07-24"/>
    <x v="0"/>
    <s v="OK"/>
  </r>
  <r>
    <x v="2"/>
    <s v="Gobierno"/>
    <s v="G_10"/>
    <s v="MEDIA"/>
    <s v="FINALIZACIÓN DE ETAPA DE GOBIERNO EN CICLO DE VIDA:"/>
    <s v="Gobierno / Revisor / Aceptar / Ciclo de Vida"/>
    <s v="GRM_REVISOR, GRM_ADMINISTRADOR"/>
    <s v="G_10.2"/>
    <s v="Para los modelos actualizados correctamente, el sistema muestra en el ciclo de vida el indicador visual correspondiente (tic verde), permitiendo además consultar el historial de gobiernos asociado al modelo."/>
    <s v="No"/>
    <s v="2026-07-24"/>
    <x v="0"/>
    <s v="OK"/>
  </r>
  <r>
    <x v="2"/>
    <s v="Gobierno"/>
    <s v="G_10"/>
    <s v="MEDIA"/>
    <s v="FINALIZACIÓN DE ETAPA DE GOBIERNO EN CICLO DE VIDA:"/>
    <s v="Gobierno / Revisor / Aceptar / Ciclo de Vida"/>
    <s v="GRM_REVISOR, GRM_ADMINISTRADOR"/>
    <s v="G_10.3"/>
    <s v="El sistema valida condiciones para la actualización de modelos: existencia de registro en ciclo de vida, que la etapa no esté previamente completada y que la configuración del modelo permita la aplicación de gobierno. En caso de configuraciones especiales, el sistema muestra la alerta: &quot;X modelos fueron omitidos por tener configuración especial (gobierno no requerido)&quot;."/>
    <s v="No"/>
    <s v="2026-07-24"/>
    <x v="1"/>
    <s v="N/A"/>
  </r>
  <r>
    <x v="2"/>
    <s v="Gobierno"/>
    <s v="G_10"/>
    <s v="MEDIA"/>
    <s v="FINALIZACIÓN DE ETAPA DE GOBIERNO EN CICLO DE VIDA:"/>
    <s v="Gobierno / Revisor / Aceptar / Ciclo de Vida"/>
    <s v="GRM_REVISOR, GRM_ADMINISTRADOR"/>
    <s v="G_10.4"/>
    <s v="Si la etapa de Gobierno no se encuentra activada en el sistema, el sistema no realiza la actualización para los modelos afectados y muestra la alerta: &quot;Algunos modelos no pudieron ser actualizados porque la etapa de gobierno no está activada&quot;, registrando el evento correspondiente."/>
    <s v="No"/>
    <s v="2026-07-24"/>
    <x v="0"/>
    <s v="OK"/>
  </r>
  <r>
    <x v="2"/>
    <s v="Gobierno"/>
    <s v="G_10"/>
    <s v="MEDIA"/>
    <s v="FINALIZACIÓN DE ETAPA DE GOBIERNO EN CICLO DE VIDA:"/>
    <s v="Gobierno / Revisor / Aceptar / Ciclo de Vida"/>
    <s v="GRM_REVISOR, GRM_ADMINISTRADOR"/>
    <s v="G_10.5"/>
    <s v="Finalizado el proceso de actualización, el sistema informa el resultado mediante la alerta: &quot;Etapa de Gobierno finalizada exitosamente para X modelos&quot;. En caso de error durante el proceso, el sistema muestra la alerta: &quot;Error al actualizar el ciclo de vida de algunos modelos. Verifique el log de errores&quot; y mantiene la consistencia de la información."/>
    <s v="No"/>
    <s v="2026-07-24"/>
    <x v="0"/>
    <s v="OK"/>
  </r>
  <r>
    <x v="2"/>
    <s v="Gobierno"/>
    <s v="G_11_RI_48"/>
    <s v="ALTA"/>
    <s v="REASIGNACIÓN ORIGEN BOTÓN INGRESAR INFORMACIÓN INVENTARIO:"/>
    <s v="Gobierno"/>
    <s v="GRM_SECR_COMITE, GRM_REVISOR, GRM_ADMINISTRADOR"/>
    <s v="G_11_RI_48.1"/>
    <s v="Desde el módulo Registro de Información, al seleccionar el botón &quot;Ingresar Información Inventario&quot;, el sistema redirige correctamente a la nueva funcionalidad de Gobierno, permitiendo al usuario acceder y visualizar la interfaz correspondiente."/>
    <s v="No"/>
    <s v="2026-07-21"/>
    <x v="0"/>
    <s v="OK"/>
  </r>
  <r>
    <x v="2"/>
    <s v="Gobierno"/>
    <s v="G_11_RI_48"/>
    <s v="ALTA"/>
    <s v="REASIGNACIÓN ORIGEN BOTÓN INGRESAR INFORMACIÓN INVENTARIO:"/>
    <s v="Gobierno"/>
    <s v="GRM_SECR_COMITE, GRM_REVISOR, GRM_ADMINISTRADOR"/>
    <s v="G_11_RI_48.2"/>
    <s v="Una vez redirigido a la nueva funcionalidad de Gobierno, el usuario puede interactuar con el formulario, ingresar información y guardar los datos correctamente dentro del flujo definido."/>
    <s v="No"/>
    <s v="2026-07-21"/>
    <x v="0"/>
    <s v="OK"/>
  </r>
  <r>
    <x v="2"/>
    <s v="Gobierno"/>
    <s v="G_12_ RI_49"/>
    <s v="ALTA"/>
    <s v="MOSTRAR LOS GOBIERNOS POR LO QUE HA ESTADO EL MODELO (GLOBO DE GOBIERNO EN EL CICLO DE VIDA):"/>
    <s v="Gobierno"/>
    <s v="GRM_VALIDADOR_EJECUTOR, GRM_VALIDADOR_APROBADOR, GRM_SECR_COMITE, GRM_REVISOR, GRM_ADMINISTRADOR"/>
    <s v="G_12_ RI_49.1"/>
    <s v="Al navegar al módulo Registrar Información y presionar el globo de Gobierno en el ciclo de vida del modelo, el sistema muestra la lista de gobiernos asociados al modelo."/>
    <s v="No"/>
    <s v="2026-06-11"/>
    <x v="0"/>
    <s v="OK"/>
  </r>
  <r>
    <x v="2"/>
    <s v="Gobierno"/>
    <s v="G_12_ RI_49"/>
    <s v="ALTA"/>
    <s v="MOSTRAR LOS GOBIERNOS POR LO QUE HA ESTADO EL MODELO (GLOBO DE GOBIERNO EN EL CICLO DE VIDA):"/>
    <s v="Gobierno"/>
    <s v="GRM_VALIDADOR_EJECUTOR, GRM_VALIDADOR_APROBADOR, GRM_SECR_COMITE, GRM_REVISOR, GRM_ADMINISTRADOR"/>
    <s v="G_12_ RI_49.2"/>
    <s v="El sistema despliega correctamente la información de los gobiernos asociados, incluyendo los campos: Instancia, Tipo (Desarrollo/Implementación), Fecha, Botón Acta y Excepción de Lineamiento (Sí/No), de acuerdo con los registros existentes."/>
    <s v="No"/>
    <s v="2026-06-11"/>
    <x v="2"/>
    <s v="OBS"/>
  </r>
  <r>
    <x v="2"/>
    <s v="Gobierno"/>
    <s v="G_12_ RI_49"/>
    <s v="ALTA"/>
    <s v="MOSTRAR LOS GOBIERNOS POR LO QUE HA ESTADO EL MODELO (GLOBO DE GOBIERNO EN EL CICLO DE VIDA):"/>
    <s v="Gobierno"/>
    <s v="GRM_VALIDADOR_EJECUTOR, GRM_VALIDADOR_APROBADOR, GRM_SECR_COMITE, GRM_REVISOR, GRM_ADMINISTRADOR"/>
    <s v="G_12_ RI_49.3"/>
    <s v="El usuario puede consultar el detalle de cada gobierno y acceder al acta correspondiente mediante el botón Acta, siempre que exista disponibilidad del documento."/>
    <s v="No"/>
    <s v="2026-06-11"/>
    <x v="0"/>
    <s v="OK"/>
  </r>
  <r>
    <x v="2"/>
    <s v="Gobierno"/>
    <s v="G_13"/>
    <s v="ALTA"/>
    <s v="VISUALIZAR CAMBIOS EN TABLA T_PPAL"/>
    <s v="Gobierno"/>
    <s v="GRM_Revisor,  GRM_ADMINISTRADOR"/>
    <s v="G_13.1"/>
    <s v="Cuando el modelo tiene registros asociados a comité, el sistema actualiza la vista T_PPAL reflejando los cambios del módulo de Gobierno, mostrando la información actualizada del modelo en la grilla principal."/>
    <s v="No"/>
    <s v="2026-08-10"/>
    <x v="0"/>
    <s v="OK"/>
  </r>
  <r>
    <x v="3"/>
    <s v="Control ERM"/>
    <s v="ERM_1"/>
    <s v="Alto"/>
    <s v="IMPLEMENTACIÓN DEL MÓDULO CONTROL ERM:"/>
    <s v="Control ERM"/>
    <s v="GRM_REVISOR, GRM_ADMINISTRADOR"/>
    <s v="ERM_1.1"/>
    <s v="Acceso y navegación: Usuario accede al nuevo módulo desde el menú principal y visualiza el módulo Control ERM"/>
    <s v="No"/>
    <s v="2026-06-04"/>
    <x v="0"/>
    <s v="OK"/>
  </r>
  <r>
    <x v="3"/>
    <s v="Control ERM"/>
    <s v="ERM_1"/>
    <s v="Alto"/>
    <s v="Se debe agregar el nuevo modulo de Control ERM"/>
    <s v="Control ERM"/>
    <s v="GRM_REVISOR, GRM_ADMINISTRADOR"/>
    <s v="ERM_1.2"/>
    <s v="Permisos por rol: GRM_REVISOR y  GRM_ADMINISTRADOR pueden ver y editar"/>
    <s v="No"/>
    <s v="2026-06-04"/>
    <x v="0"/>
    <s v="OK"/>
  </r>
  <r>
    <x v="3"/>
    <s v="Control ERM"/>
    <s v="ERM_1"/>
    <s v="Alto"/>
    <s v="Se debe agregar el nuevo modulo de Control ERM"/>
    <s v="Control ERM"/>
    <s v="GRM_REVISOR, GRM_ADMINISTRADOR"/>
    <s v="ERM_1.3"/>
    <s v="Visualización: Al acceder al módulo, el usuario puede ver las siguientes secciones de información:"/>
    <s v="No"/>
    <s v="2026-06-04"/>
    <x v="0"/>
    <s v="OK"/>
  </r>
  <r>
    <x v="3"/>
    <s v="Control ERM"/>
    <s v="ERM_2"/>
    <s v="Medio"/>
    <s v="COLUMNA DE JUSTIFICACIÓN EN GRUPOS DE EXPOSICIÓN:"/>
    <s v="Control ERM"/>
    <s v="GRM_REVISOR, GRM_ADMINISTRADOR"/>
    <s v="ERM_2.1"/>
    <s v="Desestimada"/>
    <s v="No"/>
    <m/>
    <x v="1"/>
    <s v="N/A"/>
  </r>
  <r>
    <x v="3"/>
    <s v="Control ERM"/>
    <s v="ERM_3"/>
    <s v="Medio"/>
    <s v="CAMPO ANÁLISIS MÉTRICA EXPOSICIÓN:"/>
    <s v="Control ERM"/>
    <s v="GRM_REVISOR, GRM_ADMINISTRADOR"/>
    <s v="ERM_3.1"/>
    <s v="Acceso y visualización: Usuario accede al módulo y visualiza el campo &quot;Análisis Métrica Exposición&quot;"/>
    <s v="No"/>
    <s v="2026-06-04"/>
    <x v="0"/>
    <s v="OK"/>
  </r>
  <r>
    <x v="3"/>
    <s v="Control ERM"/>
    <s v="ERM_3"/>
    <s v="Medio"/>
    <s v="Agregar Campo de Análisis Métrica Exposición que debe precargarse del formulario de desarrollo, esto debe poder ser editable por el Revisor."/>
    <s v="Control ERM"/>
    <s v="GRM_REVISOR, GRM_ADMINISTRADOR"/>
    <s v="ERM_3.2"/>
    <s v="Permisos por rol: GRM_REVISOR y GRM_ADMINISTRADOR pueden editar; GRM_USUARIO solo visualiza"/>
    <s v="No"/>
    <s v="2026-06-04"/>
    <x v="0"/>
    <s v="OK"/>
  </r>
  <r>
    <x v="3"/>
    <s v="Control ERM"/>
    <s v="ERM_3"/>
    <s v="Medio"/>
    <s v="Agregar Campo de Análisis Métrica Exposición que debe precargarse del formulario de desarrollo, esto debe poder ser editable por el Revisor."/>
    <s v="Control ERM"/>
    <s v="GRM_REVISOR, GRM_ADMINISTRADOR"/>
    <s v="ERM_3.3"/>
    <s v="Precarga automática: El sistema precarga correctamente el valor del campo desde el formulario de Desarrollo"/>
    <s v="No"/>
    <s v="2026-06-04"/>
    <x v="0"/>
    <s v="OK"/>
  </r>
  <r>
    <x v="3"/>
    <s v="Control ERM"/>
    <s v="ERM_3"/>
    <s v="Medio"/>
    <s v="Agregar Campo de Análisis Métrica Exposición que debe precargarse del formulario de desarrollo, esto debe poder ser editable por el Revisor."/>
    <s v="Control ERM"/>
    <s v="GRM_REVISOR, GRM_ADMINISTRADOR"/>
    <s v="ERM_3.4"/>
    <s v="Edición del campo: GRM_REVISOR puede modificar el valor precargado"/>
    <s v="No"/>
    <s v="2026-06-04"/>
    <x v="0"/>
    <s v="OK"/>
  </r>
  <r>
    <x v="3"/>
    <s v="Control ERM"/>
    <s v="ERM_4"/>
    <s v="Medio"/>
    <s v="CAMPO EQUIPAMIENTO:"/>
    <s v="Control ERM"/>
    <s v="GRM_REVISOR, GRM_ADMINISTRADOR"/>
    <s v="ERM_4.1"/>
    <s v="Acceso y visualización: Usuario accede al módulo y visualiza la sección &quot;Actualizar Equipamiento&quot;"/>
    <s v="No"/>
    <s v="2026-06-04"/>
    <x v="0"/>
    <s v="OK"/>
  </r>
  <r>
    <x v="3"/>
    <s v="Control ERM"/>
    <s v="ERM_4"/>
    <s v="Medio"/>
    <s v="Agregar Campo Bases de Exposición que debe precargarse del formulario de desarrollo, esto debe poder ser editable por el Revisor."/>
    <s v="Control ERM"/>
    <s v="GRM_REVISOR, GRM_ADMINISTRADOR"/>
    <s v="ERM_4.2"/>
    <s v="Permisos por rol: GRM_REVISOR y GRM_ADMINISTRADOR pueden editar, no incorporar nuevos equipamientos; GRM_USUARIO solo visualiza"/>
    <s v="No"/>
    <s v="2026-06-04"/>
    <x v="0"/>
    <s v="OK"/>
  </r>
  <r>
    <x v="3"/>
    <s v="Control ERM"/>
    <s v="ERM_4"/>
    <s v="Medio"/>
    <s v="Agregar Campo Bases de Exposición que debe precargarse del formulario de desarrollo, esto debe poder ser editable por el Revisor."/>
    <s v="Control ERM"/>
    <s v="GRM_REVISOR, GRM_ADMINISTRADOR"/>
    <s v="ERM_4.3"/>
    <s v="Precarga automática: El sistema precarga correctamente el valor desde el formulario de Desarrollo"/>
    <s v="No"/>
    <s v="2026-06-04"/>
    <x v="0"/>
    <s v="OK"/>
  </r>
  <r>
    <x v="3"/>
    <s v="Control ERM"/>
    <s v="ERM_5"/>
    <s v="Medio"/>
    <s v="MATRIZ DE CLASIFICACIÓN DE RIESGO DE MODELO (AJUSTABLE):"/>
    <s v="Control ERM"/>
    <s v="GRM_REVISOR, GRM_ADMINISTRADOR"/>
    <s v="ERM_5.1"/>
    <s v="Acceso y visualización: Usuario accede al submenú &quot;Matriz Evaluación Riesgo&quot; y visualiza una grilla con la siguiente información:"/>
    <s v="No"/>
    <s v="2026-06-15"/>
    <x v="0"/>
    <s v="OK"/>
  </r>
  <r>
    <x v="3"/>
    <s v="Control ERM"/>
    <s v="ERM_5"/>
    <s v="Medio"/>
    <s v="MATRIZ DE CLASIFICACIÓN DE RIESGO DE MODELO (AJUSTABLE):"/>
    <s v="Control ERM"/>
    <s v="GRM_REVISOR, GRM_ADMINISTRADOR"/>
    <s v="ERM_5.2"/>
    <s v="Permisos por rol: GRM_REVISOR puede editar valores de celdas; GRM_ADMINISTRADOR puede además ajustar configuración (tamaño); Otros Usuarios no pueden editar"/>
    <s v="No"/>
    <s v="2026-06-15"/>
    <x v="0"/>
    <s v="OK"/>
  </r>
  <r>
    <x v="3"/>
    <s v="Control ERM"/>
    <s v="ERM_5"/>
    <s v="Medio"/>
    <s v="MATRIZ DE CLASIFICACIÓN DE RIESGO DE MODELO (AJUSTABLE):"/>
    <s v="Control ERM"/>
    <s v="GRM_REVISOR, GRM_ADMINISTRADOR"/>
    <s v="ERM_5.3"/>
    <s v="Edición de matriz: Al presionar el botón &quot;Gestionar Valores Matriz&quot;, los usuarios con permisos pueden Agregar/Modificar los siguientes campos:"/>
    <s v="No"/>
    <s v="2026-06-15"/>
    <x v="0"/>
    <s v="OK"/>
  </r>
  <r>
    <x v="3"/>
    <s v="Control ERM"/>
    <s v="ERM_5"/>
    <s v="Medio"/>
    <s v="MATRIZ DE CLASIFICACIÓN DE RIESGO DE MODELO (AJUSTABLE):"/>
    <s v="Control ERM"/>
    <s v="GRM_REVISOR, GRM_ADMINISTRADOR"/>
    <s v="ERM_5.4"/>
    <s v="Redimensión de matriz: Desde el Submenú &quot;Rangos Evaluación Riesgo&quot;, el Administrador modifica tamaño (ej. 3x3 a 4x4); el sistema conserva datos válidos dentro del rango y gestiona correctamente nuevas celdas"/>
    <s v="No"/>
    <s v="2026-06-24"/>
    <x v="0"/>
    <s v="OK"/>
  </r>
  <r>
    <x v="3"/>
    <s v="Control ERM"/>
    <s v="ERM_5"/>
    <s v="Medio"/>
    <s v="MATRIZ DE CLASIFICACIÓN DE RIESGO DE MODELO (AJUSTABLE):"/>
    <s v="Control ERM"/>
    <s v="GRM_REVISOR, GRM_ADMINISTRADOR"/>
    <s v="ERM_5.5"/>
    <s v="Guardado, impacto y trazabilidad: Al guardar los cambios, se muestra confirmación de impacto global y se aplica a todos los modelos"/>
    <s v="No"/>
    <s v="2026-07-24"/>
    <x v="0"/>
    <s v="OK"/>
  </r>
  <r>
    <x v="3"/>
    <s v="Control ERM"/>
    <s v="ERM_6"/>
    <s v="Medio"/>
    <s v="MATRIZ DE CLASIFICACIÓN DE MATERIALIDAD (AJUSTABLE):"/>
    <s v="Control ERM"/>
    <s v="GRM_REVISOR, GRM_ADMINISTRADOR"/>
    <s v="ERM_6.1"/>
    <s v="Acceso y visualización: Usuario accede al submenú &quot;Matriz Evaluación Riesgo&quot; y visualiza una grilla con la siguiente información:"/>
    <s v="No"/>
    <s v="2026-06-15"/>
    <x v="0"/>
    <s v="OK"/>
  </r>
  <r>
    <x v="3"/>
    <s v="Control ERM"/>
    <s v="ERM_6"/>
    <s v="Medio"/>
    <s v="MATRIZ DE CLASIFICACIÓN DE MATERIALIDAD (AJUSTABLE):"/>
    <s v="Control ERM"/>
    <s v="GRM_REVISOR, GRM_ADMINISTRADOR"/>
    <s v="ERM_6.2"/>
    <s v="Permisos por rol: GRM_REVISOR puede editar valores de celdas; GRM_ADMINISTRADOR puede además ajustar configuración (tamaño); Otros Usuarios no pueden editar"/>
    <s v="No"/>
    <s v="2026-06-15"/>
    <x v="0"/>
    <s v="OK"/>
  </r>
  <r>
    <x v="3"/>
    <s v="Control ERM"/>
    <s v="ERM_6"/>
    <s v="Medio"/>
    <s v="MATRIZ DE CLASIFICACIÓN DE MATERIALIDAD (AJUSTABLE):"/>
    <s v="Control ERM"/>
    <s v="GRM_REVISOR, GRM_ADMINISTRADOR"/>
    <s v="ERM_6.3"/>
    <s v="Edición de matriz: Al presionar el botón &quot;Gestionar Valores Matriz&quot;, los usuarios con permisos pueden Agregar/Modificar los siguientes campos:"/>
    <s v="No"/>
    <s v="2026-07-28"/>
    <x v="0"/>
    <s v="OK"/>
  </r>
  <r>
    <x v="3"/>
    <s v="Control ERM"/>
    <s v="ERM_6"/>
    <s v="Medio"/>
    <s v="MATRIZ DE CLASIFICACIÓN DE MATERIALIDAD (AJUSTABLE):"/>
    <s v="Control ERM"/>
    <s v="GRM_REVISOR, GRM_ADMINISTRADOR"/>
    <s v="ERM_6.4"/>
    <s v="Redimensión de matriz: Desde el Submenú &quot;Rangos Evaluación Riesgo&quot;, el Administrador modifica tamaño (ej. 3x3 a 4x4); el sistema conserva datos válidos dentro del rango y gestiona correctamente nuevas celdas"/>
    <s v="No"/>
    <s v="2026-07-28"/>
    <x v="0"/>
    <s v="OK"/>
  </r>
  <r>
    <x v="3"/>
    <s v="Control ERM"/>
    <s v="ERM_6"/>
    <s v="Medio"/>
    <s v="MATRIZ DE CLASIFICACIÓN DE MATERIALIDAD (AJUSTABLE):"/>
    <s v="Control ERM"/>
    <s v="GRM_REVISOR, GRM_ADMINISTRADOR"/>
    <s v="ERM_6.5"/>
    <s v="Guardado, impacto y trazabilidad: Al guardar los cambios, se muestra confirmación de impacto global y se aplica a todos los modelos"/>
    <s v="No"/>
    <s v="2026-07-28"/>
    <x v="0"/>
    <s v="OK"/>
  </r>
  <r>
    <x v="3"/>
    <s v="Control ERM"/>
    <s v="ERM_7"/>
    <s v="Medio"/>
    <s v="FÓRMULA CÁLCULO INCERTIDUMBRE TOTAL (MANTENEDOR):"/>
    <s v="Control ERM"/>
    <s v="GRM_ADMINISTRADOR"/>
    <s v="ERM_7.1"/>
    <s v="Acceso y visualización: Usuario accede al módulo de &quot;Administración&quot; -&gt; &quot;Fórmulas Generales&quot; -&gt; &quot;INCERTIDUMBRE_MODELO&quot; y visualiza la fórmula de incertidumbre total junto a sus variables disponibles"/>
    <s v="No"/>
    <s v="2026-06-15"/>
    <x v="0"/>
    <s v="OK"/>
  </r>
  <r>
    <x v="3"/>
    <s v="Control ERM"/>
    <s v="ERM_7"/>
    <s v="Medio"/>
    <s v="FÓRMULA CÁLCULO INCERTIDUMBRE TOTAL (MANTENEDOR):"/>
    <s v="Control ERM"/>
    <s v="GRM_ADMINISTRADOR"/>
    <s v="ERM_7.2"/>
    <s v="Permisos por rol: GRM_ADMINISTRADOR puede editar la fórmula"/>
    <s v="No"/>
    <s v="2026-06-15"/>
    <x v="0"/>
    <s v="OK"/>
  </r>
  <r>
    <x v="3"/>
    <s v="Control ERM"/>
    <s v="ERM_7"/>
    <s v="Medio"/>
    <s v="FÓRMULA CÁLCULO INCERTIDUMBRE TOTAL (MANTENEDOR):"/>
    <s v="Control ERM"/>
    <s v="GRM_ADMINISTRADOR"/>
    <s v="ERM_7.3"/>
    <s v="Configuración de variables: Administrador define variables permitidas (ej. INC_VALIDACION, INC_MONITOREO) y estas quedan disponibles para uso en la fórmula"/>
    <s v="No"/>
    <s v="2026-06-15"/>
    <x v="0"/>
    <s v="OK"/>
  </r>
  <r>
    <x v="3"/>
    <s v="Control ERM"/>
    <s v="ERM_7"/>
    <s v="Medio"/>
    <s v="FÓRMULA CÁLCULO INCERTIDUMBRE TOTAL (MANTENEDOR):"/>
    <s v="Control ERM"/>
    <s v="GRM_ADMINISTRADOR"/>
    <s v="ERM_7.5"/>
    <s v="Validaciones de fórmula: El sistema valida sintaxis, existencia de variables y estructura antes de guardar; ante error muestra mensaje y no permite persistencia"/>
    <s v="No"/>
    <s v="2026-06-15"/>
    <x v="0"/>
    <s v="OK"/>
  </r>
  <r>
    <x v="3"/>
    <s v="Control ERM"/>
    <s v="ERM_7"/>
    <s v="Medio"/>
    <s v="FÓRMULA CÁLCULO INCERTIDUMBRE TOTAL (MANTENEDOR):"/>
    <s v="Control ERM"/>
    <s v="GRM_ADMINISTRADOR"/>
    <s v="ERM_7.6"/>
    <s v="Guardado, impacto y trazabilidad: Al guardar los cambios, se muestra confirmación de impacto global y se aplica a todos los modelos"/>
    <s v="No"/>
    <s v="2026-06-15"/>
    <x v="0"/>
    <s v="OK"/>
  </r>
  <r>
    <x v="3"/>
    <s v="Control ERM"/>
    <s v="ERM_8"/>
    <s v="Medio"/>
    <s v="INTERVALOS DE CLASIFICACIÓN DE INCERTIDUMBRE TOTAL:"/>
    <s v="Control ERM"/>
    <s v="GRM_ADMINISTRADOR"/>
    <s v="ERM_8.1"/>
    <s v="Acceso y visualización: Usuario accede al módulo de &quot;Administración&quot; -&gt; &quot;Fórmulas Generales&quot; -&gt; &quot;NIVEL_INCERTIDUMBRE_MODELO&quot; y visualiza la fórmula de incertidumbre total junto a sus variables disponibles"/>
    <s v="No"/>
    <s v="2026-06-15"/>
    <x v="0"/>
    <s v="OK"/>
  </r>
  <r>
    <x v="3"/>
    <s v="Control ERM"/>
    <s v="ERM_8"/>
    <s v="Medio"/>
    <s v="INTERVALOS DE CLASIFICACIÓN DE INCERTIDUMBRE TOTAL:"/>
    <s v="Control ERM"/>
    <s v="GRM_ADMINISTRADOR"/>
    <s v="ERM_8.2"/>
    <s v="Permisos por rol: GRM_ADMINISTRADOR puede editar la fórmula"/>
    <s v="No"/>
    <s v="2026-06-15"/>
    <x v="0"/>
    <s v="OK"/>
  </r>
  <r>
    <x v="3"/>
    <s v="Control ERM"/>
    <s v="ERM_8"/>
    <s v="Medio"/>
    <s v="INTERVALOS DE CLASIFICACIÓN DE INCERTIDUMBRE TOTAL:"/>
    <s v="Control ERM"/>
    <s v="GRM_ADMINISTRADOR"/>
    <s v="ERM_8.3"/>
    <s v="Edición de intervalos: Usuario modifica valores de VALOR_MIN, VALOR_MAX y nivel de clasificación, reflejándose correctamente en la interfaz"/>
    <s v="No"/>
    <s v="2026-07-28"/>
    <x v="0"/>
    <s v="OK"/>
  </r>
  <r>
    <x v="3"/>
    <s v="Control ERM"/>
    <s v="ERM_8"/>
    <s v="Medio"/>
    <s v="INTERVALOS DE CLASIFICACIÓN DE INCERTIDUMBRE TOTAL:"/>
    <s v="Control ERM"/>
    <s v="GRM_ADMINISTRADOR"/>
    <s v="ERM_8.4"/>
    <s v="Validaciones de rangos: El sistema valida que VALOR_MIN &lt; VALOR_MAX y que los intervalos no se superponen, impidiendo configuraciones inválidas"/>
    <s v="No"/>
    <s v="2026-07-28"/>
    <x v="0"/>
    <s v="OK"/>
  </r>
  <r>
    <x v="3"/>
    <s v="Control ERM"/>
    <s v="ERM_8"/>
    <s v="Medio"/>
    <s v="INTERVALOS DE CLASIFICACIÓN DE INCERTIDUMBRE TOTAL:"/>
    <s v="Control ERM"/>
    <s v="GRM_ADMINISTRADOR"/>
    <s v="ERM_8.5"/>
    <s v="Guardado, impacto y trazabilidad: Al guardar los cambios, se muestra confirmación de impacto global y se aplica a todos los modelos"/>
    <s v="No"/>
    <s v="2026-07-28"/>
    <x v="0"/>
    <s v="OK"/>
  </r>
  <r>
    <x v="3"/>
    <s v="Control ERM"/>
    <s v="ERM_9"/>
    <s v="Medio"/>
    <s v="FÓRMULA CÁLCULO INCERTIDUMBRE DE VALIDACIÓN:"/>
    <s v="Control ERM"/>
    <s v="GRM_ADMINISTRADOR"/>
    <s v="ERM_9.1"/>
    <s v="Acceso y visualización: Usuario accede al módulo de &quot;Administración&quot; -&gt; &quot;Fórmulas Generales&quot; -&gt; &quot;INCERTIDUMBRE_VALIDACION&quot; y visualiza la fórmula de incertidumbre total junto a sus variables disponibles"/>
    <s v="No"/>
    <s v="2026-06-15"/>
    <x v="0"/>
    <s v="OK"/>
  </r>
  <r>
    <x v="3"/>
    <s v="Control ERM"/>
    <s v="ERM_9"/>
    <s v="Medio"/>
    <s v="FÓRMULA CÁLCULO INCERTIDUMBRE DE VALIDACIÓN:"/>
    <s v="Control ERM"/>
    <s v="GRM_ADMINISTRADOR"/>
    <s v="ERM_9.2"/>
    <s v="Permisos por rol: GRM_ADMINISTRADOR puede editar la fórmula"/>
    <s v="No"/>
    <s v="2026-06-15"/>
    <x v="0"/>
    <s v="OK"/>
  </r>
  <r>
    <x v="3"/>
    <s v="Control ERM"/>
    <s v="ERM_9"/>
    <s v="Medio"/>
    <s v="FÓRMULA CÁLCULO INCERTIDUMBRE DE VALIDACIÓN:"/>
    <s v="Control ERM"/>
    <s v="GRM_ADMINISTRADOR"/>
    <s v="ERM_9.3"/>
    <s v="Edición de fórmula: Revisor modifica la fórmula utilizando variables disponibles (ej. NOTA_DESARROLLO, OBS_GRAVEDAD, CALIFICACIONES_AJUSTADAS)"/>
    <s v="No"/>
    <s v="2026-06-15"/>
    <x v="0"/>
    <s v="OK"/>
  </r>
  <r>
    <x v="3"/>
    <s v="Control ERM"/>
    <s v="ERM_9"/>
    <s v="Medio"/>
    <s v="FÓRMULA CÁLCULO INCERTIDUMBRE DE VALIDACIÓN:"/>
    <s v="Control ERM"/>
    <s v="GRM_ADMINISTRADOR"/>
    <s v="ERM_9.4"/>
    <s v="Validaciones: El sistema valida sintaxis de la fórmula, existencia de variables y coherencia matemática (ej. divisiones, funciones), impidiendo guardar fórmulas inválidas"/>
    <s v="No"/>
    <s v="2026-06-15"/>
    <x v="0"/>
    <s v="OK"/>
  </r>
  <r>
    <x v="3"/>
    <s v="Control ERM"/>
    <s v="ERM_9"/>
    <s v="Medio"/>
    <s v="FÓRMULA CÁLCULO INCERTIDUMBRE DE VALIDACIÓN:"/>
    <s v="Control ERM"/>
    <s v="GRM_ADMINISTRADOR"/>
    <s v="ERM_9.5"/>
    <s v="Guardado, impacto y trazabilidad: Al guardar los cambios, se muestra confirmación de impacto global y se aplica a todos los modelos"/>
    <s v="No"/>
    <s v="2026-06-15"/>
    <x v="0"/>
    <s v="OK"/>
  </r>
  <r>
    <x v="3"/>
    <s v="Control ERM"/>
    <s v="ERM_10"/>
    <s v="Medio"/>
    <s v="FÓRMULA CÁLCULO INCERTIDUMBRE DE MONITOREO:"/>
    <s v="Control ERM"/>
    <s v="GRM_ADMINISTRADOR"/>
    <s v="ERM_10.1"/>
    <s v="Acceso y visualización: Usuario accede al módulo de &quot;Administración&quot; -&gt; &quot;Fórmulas Generales&quot; -&gt; &quot;INCERTIDUMBRE_MONITOREO&quot; y visualiza la fórmula de incertidumbre total junto a sus variables disponibles"/>
    <s v="No"/>
    <s v="2026-06-15"/>
    <x v="0"/>
    <s v="OK"/>
  </r>
  <r>
    <x v="3"/>
    <s v="Control ERM"/>
    <s v="ERM_10"/>
    <s v="Medio"/>
    <s v="FÓRMULA CÁLCULO INCERTIDUMBRE DE MONITOREO:"/>
    <s v="Control ERM"/>
    <s v="GRM_ADMINISTRADOR"/>
    <s v="ERM_10.2"/>
    <s v="Permisos por rol: GRM_ADMINISTRADOR puede editar la fórmula"/>
    <s v="No"/>
    <s v="2026-06-15"/>
    <x v="0"/>
    <s v="OK"/>
  </r>
  <r>
    <x v="3"/>
    <s v="Control ERM"/>
    <s v="ERM_10"/>
    <s v="Medio"/>
    <s v="FÓRMULA CÁLCULO INCERTIDUMBRE DE MONITOREO:"/>
    <s v="Control ERM"/>
    <s v="GRM_ADMINISTRADOR"/>
    <s v="ERM_10.3"/>
    <s v="Edición de fórmula: Revisor modifica la fórmula utilizando variables disponibles (ej. NOTA_DESARROLLO, OBS_GRAVEDAD, CALIFICACIONES_AJUSTADAS)"/>
    <s v="No"/>
    <s v="2026-06-15"/>
    <x v="0"/>
    <s v="OK"/>
  </r>
  <r>
    <x v="3"/>
    <s v="Control ERM"/>
    <s v="ERM_10"/>
    <s v="Medio"/>
    <s v="FÓRMULA CÁLCULO INCERTIDUMBRE DE MONITOREO:"/>
    <s v="Control ERM"/>
    <s v="GRM_ADMINISTRADOR"/>
    <s v="ERM_10.4"/>
    <s v="Validaciones: El sistema valida sintaxis de la fórmula, existencia de variables y coherencia matemática (ej. divisiones, funciones), impidiendo guardar fórmulas inválidas"/>
    <s v="No"/>
    <s v="2026-06-15"/>
    <x v="0"/>
    <s v="OK"/>
  </r>
  <r>
    <x v="3"/>
    <s v="Control ERM"/>
    <s v="ERM_10"/>
    <s v="Medio"/>
    <s v="FÓRMULA CÁLCULO INCERTIDUMBRE DE MONITOREO:"/>
    <s v="Control ERM"/>
    <s v="GRM_ADMINISTRADOR"/>
    <s v="ERM_10.6"/>
    <s v="Guardado, impacto y trazabilidad: Al guardar los cambios, se muestra confirmación de impacto global y se aplica a todos los modelos"/>
    <s v="No"/>
    <s v="2026-06-15"/>
    <x v="0"/>
    <s v="OK"/>
  </r>
  <r>
    <x v="3"/>
    <s v="Control ERM"/>
    <s v="ERM_11"/>
    <s v="Medio"/>
    <s v="MANTENEDORES CON MATRICES AJUSTABLES (5 MÓDULOS):"/>
    <s v="Control ERM"/>
    <s v="GRM_ADMINISTRADOR"/>
    <s v="ERM_11.1"/>
    <s v="Acceso y navegación: Administrador accede al Submenú &quot;Rango Evaluación Riesgo&quot; y visualiza los siguientes elementos:"/>
    <s v="No"/>
    <s v="2026-06-24"/>
    <x v="0"/>
    <s v="OK"/>
  </r>
  <r>
    <x v="3"/>
    <s v="Control ERM"/>
    <s v="ERM_11"/>
    <s v="Medio"/>
    <s v="MANTENEDORES CON MATRICES AJUSTABLES (5 MÓDULOS):"/>
    <s v="Control ERM"/>
    <s v="GRM_ADMINISTRADOR"/>
    <s v="ERM_11.2"/>
    <s v="Edición en grilla: Al presionar el Botón &quot;Crear&quot; o &quot;Editar&quot;, el Administrador puede Agregar/Modificar los datos del Caso ERM_11.1, además del valor mínimo y máximo del Rango"/>
    <s v="No"/>
    <s v="2026-06-24"/>
    <x v="0"/>
    <s v="OK"/>
  </r>
  <r>
    <x v="3"/>
    <s v="Control ERM"/>
    <s v="ERM_11"/>
    <s v="Medio"/>
    <s v="MANTENEDORES CON MATRICES AJUSTABLES (5 MÓDULOS):"/>
    <s v="Control ERM"/>
    <s v="GRM_ADMINISTRADOR"/>
    <s v="ERM_11.3"/>
    <s v="Generación de matrices: En la medida que el administrador Agregue nuevos rangos, la matriz cambiará de dimensiones (ej. 2x2, 3x3, etc)"/>
    <s v="No"/>
    <s v="2026-07-28"/>
    <x v="0"/>
    <s v="OK"/>
  </r>
  <r>
    <x v="3"/>
    <s v="Control ERM"/>
    <s v="ERM_11"/>
    <s v="Medio"/>
    <s v="MANTENEDORES CON MATRICES AJUSTABLES (5 MÓDULOS):"/>
    <s v="Control ERM"/>
    <s v="GRM_ADMINISTRADOR"/>
    <s v="ERM_11.4"/>
    <s v="Guardado, impacto y trazabilidad: Al guardar los cambios, se muestra confirmación de impacto global y se aplica a todos los modelos"/>
    <s v="No"/>
    <s v="2026-07-24"/>
    <x v="0"/>
    <s v="OK"/>
  </r>
  <r>
    <x v="3"/>
    <s v="Control ERM"/>
    <s v="ERM_12"/>
    <s v="Alto"/>
    <s v="CÁLCULO RECURRENTE NOTA INFORME CON REDUCCIÓN POR GRAVEDAD:"/>
    <s v="Control ERM"/>
    <s v="Sistema (Automático)"/>
    <s v="ERM_12.1"/>
    <s v="Regla de reducción de gravedad: Cuando una observación cambia a estado &quot;Cerrada&quot; o &quot;Solucionada&quot;, el sistema asigna gravedad mínima (valor = 1)"/>
    <s v="No"/>
    <s v="2026-07-29"/>
    <x v="0"/>
    <s v="OK"/>
  </r>
  <r>
    <x v="3"/>
    <s v="Control ERM"/>
    <s v="ERM_12"/>
    <s v="Alto"/>
    <s v="CÁLCULO RECURRENTE NOTA INFORME CON REDUCCIÓN POR GRAVEDAD:"/>
    <s v="Control ERM"/>
    <s v="Sistema (Automático)"/>
    <s v="ERM_12.2"/>
    <s v="Recalculo de notas: El sistema recalcula automáticamente las calificaciones ajustadas (CAL_AMBITO_X_AJUSTADA) en T_Ppal considerando la nueva gravedad"/>
    <s v="No"/>
    <s v="2026-08-06"/>
    <x v="0"/>
    <s v="OK"/>
  </r>
  <r>
    <x v="3"/>
    <s v="Control ERM"/>
    <s v="ERM_12"/>
    <s v="Alto"/>
    <s v="CÁLCULO RECURRENTE NOTA INFORME CON REDUCCIÓN POR GRAVEDAD:"/>
    <s v="Control ERM"/>
    <s v="Sistema (Automático)"/>
    <s v="ERM_12.3"/>
    <s v="Impacto en incertidumbre: El recalculo afecta correctamente la incertidumbre de validación (INC_VALIDACION) en modelos relacionados"/>
    <s v="No"/>
    <s v="2026-07-29"/>
    <x v="0"/>
    <s v="OK"/>
  </r>
  <r>
    <x v="3"/>
    <s v="Control ERM"/>
    <s v="ERM_13"/>
    <s v="Alto"/>
    <s v="NUEVAS COLUMNAS T_PPAL PARA CALIFICACIONES AJUSTADAS:"/>
    <s v="Control ERM"/>
    <s v="Sistema (Automático)"/>
    <s v="ERM_13.1"/>
    <s v="Creación de estructura: Las nuevas columnas (ej. NOTA_FINAL_RECALCULADA y calificaciones ajustadas) existen correctamente en T_Ppal con tipo y formato esperado"/>
    <s v="No"/>
    <s v="2026-07-20"/>
    <x v="1"/>
    <s v="N/A"/>
  </r>
  <r>
    <x v="3"/>
    <s v="Control ERM"/>
    <s v="ERM_13"/>
    <s v="Alto"/>
    <s v="NUEVAS COLUMNAS T_PPAL PARA CALIFICACIONES AJUSTADAS:"/>
    <s v="Control ERM"/>
    <s v="Sistema (Automático)"/>
    <s v="ERM_13.2"/>
    <s v="Actualización de calificaciones: El sistema recalcula y almacena correctamente las calificaciones ajustadas por ámbito (incluyendo NOTA_FINAL_RECALCULADA) en función de la gravedad y estado de observaciones"/>
    <s v="No"/>
    <s v="2026-07-29"/>
    <x v="0"/>
    <s v="OK"/>
  </r>
  <r>
    <x v="3"/>
    <s v="Control ERM"/>
    <s v="ERM_13"/>
    <s v="Alto"/>
    <s v="NUEVAS COLUMNAS T_PPAL PARA CALIFICACIONES AJUSTADAS:"/>
    <s v="Control ERM"/>
    <s v="Sistema (Automático)"/>
    <s v="ERM_13.3"/>
    <s v="Regla de negocio aplicada: Si observaciones de un ámbito están solucionadas/cerradas, la calificación de ese ámbito se ajusta correctamente (ej. valor mínimo = 1)"/>
    <s v="No"/>
    <s v="2026-08-07"/>
    <x v="0"/>
    <s v="OK"/>
  </r>
  <r>
    <x v="3"/>
    <s v="Control ERM"/>
    <s v="ERM_14"/>
    <s v="Alto"/>
    <s v="COLUMNA PROMEDIO ÚLTIMAS N VALIDACIONES:"/>
    <s v="Control ERM"/>
    <s v="Sistema (Automático)"/>
    <s v="ERM_14.1"/>
    <s v="Creación de columna: La columna PROMEDIO_ULT_N_VALIDACIONES existe en T_Ppal con formato numérico (2 decimales) y es visible en reportes"/>
    <s v="No"/>
    <s v="2026-07-20"/>
    <x v="1"/>
    <s v="N/A"/>
  </r>
  <r>
    <x v="4"/>
    <s v="Documentación"/>
    <s v="D_1"/>
    <s v="MEDIA"/>
    <s v="AUTOCARGA DE MODELO Y ETAPA EN DOCUMENTACIÓN:"/>
    <s v="Todos los Módulos"/>
    <s v="GRM_DESA_EJECUTOR, GRM_DESA_APROBADOR, GRM_IMPLEM_EJECUTOR, GRM_IMPLEM_APROBADOR, GRM_RESPO_SEG_EJECUTOR, GRM_RESPO_SEG_APROBADOR, GRM_VALIDADOR_EJECUTOR, GRM_VALIDADOR_APROBADOR, GRM_SECR_COMITE, GRM_REVISOR, GRM_ADMINISTRADOR"/>
    <s v="D_1.1"/>
    <s v="Al acceder a la carga de documentos desde un módulo del sistema, el sistema identifica el módulo origen y muestra la sección de documentación con los campos Modelo y Etapa autocargados según el contexto de trabajo actual."/>
    <s v="No"/>
    <s v="2026-07-10"/>
    <x v="0"/>
    <s v="OK"/>
  </r>
  <r>
    <x v="4"/>
    <s v="Documentación"/>
    <s v="D_1"/>
    <s v="MEDIA"/>
    <s v="AUTOCARGA DE MODELO Y ETAPA EN DOCUMENTACIÓN:"/>
    <s v="Todos los Módulos"/>
    <s v="GRM_DESA_EJECUTOR, GRM_DESA_APROBADOR, GRM_IMPLEM_EJECUTOR, GRM_IMPLEM_APROBADOR, GRM_RESPO_SEG_EJECUTOR, GRM_RESPO_SEG_APROBADOR, GRM_VALIDADOR_EJECUTOR, GRM_VALIDADOR_APROBADOR, GRM_SECR_COMITE, GRM_REVISOR, GRM_ADMINISTRADOR"/>
    <s v="D_1.2"/>
    <s v="Los campos Modelo y Etapa se muestran como solo lectura (Read Only), impidiendo su modificación manual por parte del usuario."/>
    <s v="No"/>
    <s v="2026-08-03"/>
    <x v="0"/>
    <s v="OK"/>
  </r>
  <r>
    <x v="4"/>
    <s v="Documentación"/>
    <s v="D_1"/>
    <s v="MEDIA"/>
    <s v="AUTOCARGA DE MODELO Y ETAPA EN DOCUMENTACIÓN:"/>
    <s v="Todos los Módulos"/>
    <s v="GRM_DESA_EJECUTOR, GRM_DESA_APROBADOR, GRM_IMPLEM_EJECUTOR, GRM_IMPLEM_APROBADOR, GRM_RESPO_SEG_EJECUTOR, GRM_RESPO_SEG_APROBADOR, GRM_VALIDADOR_EJECUTOR, GRM_VALIDADOR_APROBADOR, GRM_SECR_COMITE, GRM_REVISOR, GRM_ADMINISTRADOR"/>
    <s v="D_1.3"/>
    <s v="Al completar la carga, el documento queda automáticamente asociado al modelo y etapa del contexto, sin requerir selección adicional por parte del usuario."/>
    <s v="No"/>
    <s v="2026-08-03"/>
    <x v="0"/>
    <s v="OK"/>
  </r>
  <r>
    <x v="4"/>
    <s v="Documentación"/>
    <s v="D_2"/>
    <s v="MEDIA"/>
    <s v="ASIGNACIÓN DE DOCUMENTO A MÚLTIPLES MODELOS:"/>
    <s v="Todos los Módulos"/>
    <s v="GRM_DESA_EJECUTOR, GRM_DESA_APROBADOR, GRM_IMPLEM_EJECUTOR, GRM_IMPLEM_APROBADOR, GRM_RESPO_SEG_EJECUTOR, GRM_RESPO_SEG_APROBADOR, GRM_VALIDADOR_EJECUTOR, GRM_VALIDADOR_APROBADOR, GRM_SECR_COMITE, GRM_REVISOR, GRM_ADMINISTRADOR"/>
    <s v="D_2.1"/>
    <s v="Una vez cargado un documento, el sistema permite acceder a la sección de Modelos Asociados, mostrando los modelos actualmente vinculados al documento."/>
    <s v="No"/>
    <s v="2026-08-03"/>
    <x v="0"/>
    <s v="OK"/>
  </r>
  <r>
    <x v="4"/>
    <s v="Documentación"/>
    <s v="D_2"/>
    <s v="MEDIA"/>
    <s v="ASIGNACIÓN DE DOCUMENTO A MÚLTIPLES MODELOS:"/>
    <s v="Todos los Módulos"/>
    <s v="GRM_DESA_EJECUTOR, GRM_DESA_APROBADOR, GRM_IMPLEM_EJECUTOR, GRM_IMPLEM_APROBADOR, GRM_RESPO_SEG_EJECUTOR, GRM_RESPO_SEG_APROBADOR, GRM_VALIDADOR_EJECUTOR, GRM_VALIDADOR_APROBADOR, GRM_SECR_COMITE, GRM_REVISOR, GRM_ADMINISTRADOR"/>
    <s v="D_2.2"/>
    <s v="El usuario puede seleccionar uno o más modelos adicionales mediante el componente de selección múltiple, asociando el documento a múltiples modelos existentes en el sistema."/>
    <s v="No"/>
    <s v="2026-08-03"/>
    <x v="0"/>
    <s v="OK"/>
  </r>
  <r>
    <x v="4"/>
    <s v="Documentación"/>
    <s v="D_2"/>
    <s v="MEDIA"/>
    <s v="ASIGNACIÓN DE DOCUMENTO A MÚLTIPLES MODELOS:"/>
    <s v="Todos los Módulos"/>
    <s v="GRM_DESA_EJECUTOR, GRM_DESA_APROBADOR, GRM_IMPLEM_EJECUTOR, GRM_IMPLEM_APROBADOR, GRM_RESPO_SEG_EJECUTOR, GRM_RESPO_SEG_APROBADOR, GRM_VALIDADOR_EJECUTOR, GRM_VALIDADOR_APROBADOR, GRM_SECR_COMITE, GRM_REVISOR, GRM_ADMINISTRADOR"/>
    <s v="D_2.3"/>
    <s v="El sistema valida que un documento no pueda asociarse más de una vez al mismo modelo; en caso de intento duplicado, muestra la alerta: &quot;No se puede asociar el documento. El modelo ya está asociado&quot;."/>
    <s v="No"/>
    <s v="2026-08-03"/>
    <x v="0"/>
    <s v="OK"/>
  </r>
  <r>
    <x v="4"/>
    <s v="Documentación"/>
    <s v="D_2"/>
    <s v="MEDIA"/>
    <s v="ASIGNACIÓN DE DOCUMENTO A MÚLTIPLES MODELOS:"/>
    <s v="Todos los Módulos"/>
    <s v="GRM_DESA_EJECUTOR, GRM_DESA_APROBADOR, GRM_IMPLEM_EJECUTOR, GRM_IMPLEM_APROBADOR, GRM_RESPO_SEG_EJECUTOR, GRM_RESPO_SEG_APROBADOR, GRM_VALIDADOR_EJECUTOR, GRM_VALIDADOR_APROBADOR, GRM_SECR_COMITE, GRM_REVISOR, GRM_ADMINISTRADOR"/>
    <s v="D_2.4"/>
    <s v="El usuario puede eliminar modelos previamente asociados, y el sistema actualiza la tabla de relación reflejando los cambios, manteniendo solo las asociaciones vigentes."/>
    <s v="No"/>
    <s v="2026-08-03"/>
    <x v="0"/>
    <s v="OK"/>
  </r>
  <r>
    <x v="4"/>
    <s v="Documentación"/>
    <s v="D_2"/>
    <s v="MEDIA"/>
    <s v="ASIGNACIÓN DE DOCUMENTO A MÚLTIPLES MODELOS:"/>
    <s v="Todos los Módulos"/>
    <s v="GRM_DESA_EJECUTOR, GRM_DESA_APROBADOR, GRM_IMPLEM_EJECUTOR, GRM_IMPLEM_APROBADOR, GRM_RESPO_SEG_EJECUTOR, GRM_RESPO_SEG_APROBADOR, GRM_VALIDADOR_EJECUTOR, GRM_VALIDADOR_APROBADOR, GRM_SECR_COMITE, GRM_REVISOR, GRM_ADMINISTRADOR"/>
    <s v="D_2.5"/>
    <s v="Al completar correctamente la asociación múltiple, el sistema muestra la alerta: &quot;Documento asociado a X modelos exitosamente&quot; y el documento queda visible en la vista de cada modelo asociado."/>
    <s v="No"/>
    <s v="2026-08-03"/>
    <x v="0"/>
    <s v="OK"/>
  </r>
  <r>
    <x v="4"/>
    <s v="Documentación"/>
    <s v="D_3"/>
    <s v="MEDIA"/>
    <s v="VERSIÓN AUTOMÁTICA INCREMENTAL DEL DOCUMENTO:"/>
    <s v="Todos los Módulos"/>
    <s v="Sistema (automatico)"/>
    <s v="D_3.1"/>
    <s v="Al cargar o actualizar un documento, el sistema calcula automáticamente la siguiente versión disponible según el histórico del documento y la muestra en el campo correspondiente."/>
    <s v="No"/>
    <s v="2026-08-03"/>
    <x v="0"/>
    <s v="OK"/>
  </r>
  <r>
    <x v="4"/>
    <s v="Documentación"/>
    <s v="D_3"/>
    <s v="MEDIA"/>
    <s v="VERSIÓN AUTOMÁTICA INCREMENTAL DEL DOCUMENTO:"/>
    <s v="Todos los Módulos"/>
    <s v="Sistema (automatico)"/>
    <s v="D_3.2"/>
    <s v="El campo versión del documento se muestra con el valor generado automáticamente (formato definido), permitiendo al usuario continuar con la carga utilizando dicha versión."/>
    <s v="No"/>
    <s v="2026-08-03"/>
    <x v="0"/>
    <s v="OK"/>
  </r>
  <r>
    <x v="4"/>
    <s v="Documentación"/>
    <s v="D_3"/>
    <s v="MEDIA"/>
    <s v="VERSIÓN AUTOMÁTICA INCREMENTAL DEL DOCUMENTO:"/>
    <s v="Todos los Módulos"/>
    <s v="Sistema (automatico)"/>
    <s v="D_3.3"/>
    <s v="El sistema valida que la versión asignada no exista previamente para el documento; en caso de duplicidad, evita la operación y solicita una acción sobre la versión."/>
    <s v="No"/>
    <s v="2026-08-03"/>
    <x v="0"/>
    <s v="OK"/>
  </r>
  <r>
    <x v="4"/>
    <s v="Documentación"/>
    <s v="D_3"/>
    <s v="MEDIA"/>
    <s v="VERSIÓN AUTOMÁTICA INCREMENTAL DEL DOCUMENTO:"/>
    <s v="Todos los Módulos"/>
    <s v="Sistema (automatico)"/>
    <s v="D_3.4"/>
    <s v="El sistema almacena el documento con la versión asignada y genera el nombre del archivo con el prefijo [FECHA][HORA][NOMBRE_ORIGINAL], evitando sobreescritura de versiones anteriores."/>
    <s v="No"/>
    <s v="2026-07-10"/>
    <x v="0"/>
    <s v="OK"/>
  </r>
  <r>
    <x v="4"/>
    <s v="Documentación"/>
    <s v="D_3"/>
    <s v="MEDIA"/>
    <s v="VERSIÓN AUTOMÁTICA INCREMENTAL DEL DOCUMENTO:"/>
    <s v="Todos los Módulos"/>
    <s v="Sistema (automatico)"/>
    <s v="D_3.5"/>
    <s v="Ante una versión inválida (formato incorrecto o inconsistente), el sistema muestra la alerta: &quot;Formato de versión no válido.&quot; e impide continuar con el guardado."/>
    <s v="No"/>
    <m/>
    <x v="1"/>
    <s v="N/A"/>
  </r>
  <r>
    <x v="4"/>
    <s v="Documentación"/>
    <s v="D_4"/>
    <s v="MEDIA"/>
    <s v="PREFIJO DE FECHA EN VERSIÓN DEL DOCUMENTO:"/>
    <s v="Todos los Módulos"/>
    <s v="Sistema (Automatico)"/>
    <s v="D_4.1"/>
    <s v="Al cargar un documento, el sistema obtiene la fecha y hora actual y genera automáticamente el nombre del archivo, anteponiendo el prefijo correspondiente al nombre original."/>
    <s v="No"/>
    <s v="2026-08-03"/>
    <x v="2"/>
    <s v="OBS"/>
  </r>
  <r>
    <x v="4"/>
    <s v="Documentación"/>
    <s v="D_4"/>
    <s v="MEDIA"/>
    <s v="PREFIJO DE FECHA EN VERSIÓN DEL DOCUMENTO:"/>
    <s v="Todos los Módulos"/>
    <s v="Sistema (Automatico)"/>
    <s v="D_4.2"/>
    <s v="El nombre generado sigue el formato definido: [FECHA][HORA][VERSIÓN]_[NOMBRE_ORIGINAL], mostrándose en el campo correspondiente antes de guardar el documento."/>
    <s v="No"/>
    <s v="2026-07-10"/>
    <x v="0"/>
    <s v="OK"/>
  </r>
  <r>
    <x v="4"/>
    <s v="Documentación"/>
    <s v="D_4"/>
    <s v="MEDIA"/>
    <s v="PREFIJO DE FECHA EN VERSIÓN DEL DOCUMENTO:"/>
    <s v="Todos los Módulos"/>
    <s v="Sistema (Automatico)"/>
    <s v="D_4.3"/>
    <s v="El sistema valida que el nombre generado sea válido y no contenga caracteres no permitidos, asegurando integridad en la identificación del documento almacenado."/>
    <s v="No"/>
    <s v="2026-07-10"/>
    <x v="0"/>
    <s v="OK"/>
  </r>
  <r>
    <x v="4"/>
    <s v="Documentación"/>
    <s v="D_4"/>
    <s v="MEDIA"/>
    <s v="PREFIJO DE FECHA EN VERSIÓN DEL DOCUMENTO:"/>
    <s v="Todos los Módulos"/>
    <s v="Sistema (Automatico)"/>
    <s v="D_4.4"/>
    <s v="El sistema muestra la alerta informativa: &quot;El documento se guardará con el nombre: [nombre_generado]&quot;, indicando el identificador final del archivo antes de su almacenamiento."/>
    <s v="No"/>
    <m/>
    <x v="1"/>
    <s v="N/A"/>
  </r>
  <r>
    <x v="4"/>
    <s v="Documentación"/>
    <s v="D_4"/>
    <s v="MEDIA"/>
    <s v="PREFIJO DE FECHA EN VERSIÓN DEL DOCUMENTO:"/>
    <s v="Todos los Módulos"/>
    <s v="Sistema (Automatico)"/>
    <s v="D_4.5"/>
    <s v="En caso de que el nombre generado sea demasiado largo, el sistema ajusta el nombre (por ejemplo truncando el nombre original), manteniendo el formato y permitiendo continuar con la carga."/>
    <s v="No"/>
    <m/>
    <x v="1"/>
    <s v="N/A"/>
  </r>
  <r>
    <x v="4"/>
    <s v="Documentación"/>
    <s v="D_4"/>
    <s v="MEDIA"/>
    <s v="PREFIJO DE FECHA EN VERSIÓN DEL DOCUMENTO:"/>
    <s v="Todos los Módulos"/>
    <s v="Sistema (Automatico)"/>
    <s v="D_4.6"/>
    <s v="Si ocurre un error en la generación del formato del nombre, el sistema utiliza el nombre original del archivo y permite continuar el proceso, mostrando la notificación correspondiente."/>
    <s v="No"/>
    <m/>
    <x v="1"/>
    <s v="N/A"/>
  </r>
  <r>
    <x v="4"/>
    <s v="Documentación"/>
    <s v="D_5"/>
    <s v="MEDIA"/>
    <s v="MÓDULO DE DOCUMENTACIÓN CENTRALIZADO:"/>
    <s v="Todos los Módulos"/>
    <s v="GRM_DESA_EJECUTOR, GRM_DESA_APROBADOR, GRM_IMPLEM_EJECUTOR, GRM_IMPLEM_APROBADOR, GRM_RESPO_SEG_EJECUTOR, GRM_RESPO_SEG_APROBADOR, GRM_VALIDADOR_EJECUTOR, GRM_VALIDADOR_APROBADOR, GRM_SECR_COMITE, GRM_REVISOR, GRM_ADMINISTRADOR"/>
    <s v="D_5.1"/>
    <s v="Al acceder al módulo de documentación centralizado, el sistema muestra una lista unificada de todos los documentos cargados desde los distintos módulos de la plataforma."/>
    <s v="No"/>
    <s v="2026-08-03"/>
    <x v="0"/>
    <s v="OK"/>
  </r>
  <r>
    <x v="4"/>
    <s v="Documentación"/>
    <s v="D_5"/>
    <s v="MEDIA"/>
    <s v="MÓDULO DE DOCUMENTACIÓN CENTRALIZADO:"/>
    <s v="Todos los Módulos"/>
    <s v="GRM_DESA_EJECUTOR, GRM_DESA_APROBADOR, GRM_IMPLEM_EJECUTOR, GRM_IMPLEM_APROBADOR, GRM_RESPO_SEG_EJECUTOR, GRM_RESPO_SEG_APROBADOR, GRM_VALIDADOR_EJECUTOR, GRM_VALIDADOR_APROBADOR, GRM_SECR_COMITE, GRM_REVISOR, GRM_ADMINISTRADOR"/>
    <s v="D_5.2"/>
    <s v="Cada documento mostrable incluye su trazabilidad de origen, indicando módulo, modelo, etapa y demás atributos asociados."/>
    <s v="No"/>
    <s v="2026-08-03"/>
    <x v="0"/>
    <s v="OK"/>
  </r>
  <r>
    <x v="4"/>
    <s v="Documentación"/>
    <s v="D_5"/>
    <s v="MEDIA"/>
    <s v="MÓDULO DE DOCUMENTACIÓN CENTRALIZADO:"/>
    <s v="Todos los Módulos"/>
    <s v="GRM_DESA_EJECUTOR, GRM_DESA_APROBADOR, GRM_IMPLEM_EJECUTOR, GRM_IMPLEM_APROBADOR, GRM_RESPO_SEG_EJECUTOR, GRM_RESPO_SEG_APROBADOR, GRM_VALIDADOR_EJECUTOR, GRM_VALIDADOR_APROBADOR, GRM_SECR_COMITE, GRM_REVISOR, GRM_ADMINISTRADOR"/>
    <s v="D_5.3"/>
    <s v="El sistema permite aplicar filtros (módulo origen, modelo, etapa, tipo de documento, fecha, usuario), actualizando correctamente los resultados según los criterios seleccionados."/>
    <s v="No"/>
    <s v="2026-07-10"/>
    <x v="0"/>
    <s v="OK"/>
  </r>
  <r>
    <x v="4"/>
    <s v="Documentación"/>
    <s v="D_5"/>
    <s v="MEDIA"/>
    <s v="MÓDULO DE DOCUMENTACIÓN CENTRALIZADO:"/>
    <s v="Todos los Módulos"/>
    <s v="GRM_DESA_EJECUTOR, GRM_DESA_APROBADOR, GRM_IMPLEM_EJECUTOR, GRM_IMPLEM_APROBADOR, GRM_RESPO_SEG_EJECUTOR, GRM_RESPO_SEG_APROBADOR, GRM_VALIDADOR_EJECUTOR, GRM_VALIDADOR_APROBADOR, GRM_SECR_COMITE, GRM_REVISOR, GRM_ADMINISTRADOR"/>
    <s v="D_5.4"/>
    <s v="El usuario puede realizar acciones sobre los documentos (ver detalle, descargar, editar o eliminar) según sus permisos definidos, reflejando correctamente la operación en el sistema."/>
    <s v="No"/>
    <s v="2026-07-10"/>
    <x v="0"/>
    <s v="OK"/>
  </r>
  <r>
    <x v="4"/>
    <s v="Documentación"/>
    <s v="D_6"/>
    <s v="MEDIA"/>
    <s v="PERMISOS DE REVISOR Y ADMINISTRADOR SOBRE DOCUMENTOS:"/>
    <s v="Todos los Módulos"/>
    <s v="GRM_REVISOR, GRM_ADMINISTRADOR"/>
    <s v="D_6.1"/>
    <s v="Al acceder al módulo de documentación, los usuarios con rol Revisor o Administrador pueden visualizar todos los documentos del sistema sin restricciones de módulo, modelo o etapa."/>
    <s v="No"/>
    <s v="2026-07-10"/>
    <x v="0"/>
    <s v="OK"/>
  </r>
  <r>
    <x v="4"/>
    <s v="Documentación"/>
    <s v="D_6"/>
    <s v="MEDIA"/>
    <s v="PERMISOS DE REVISOR Y ADMINISTRADOR SOBRE DOCUMENTOS:"/>
    <s v="Todos los Módulos"/>
    <s v="GRM_REVISOR, GRM_ADMINISTRADOR"/>
    <s v="D_6.2"/>
    <s v="El usuario puede acceder al detalle de cualquier documento y visualizar su información completa, independientemente de su origen o asociación."/>
    <s v="No"/>
    <s v="2026-07-10"/>
    <x v="0"/>
    <s v="OK"/>
  </r>
  <r>
    <x v="4"/>
    <s v="Documentación"/>
    <s v="D_6"/>
    <s v="MEDIA"/>
    <s v="PERMISOS DE REVISOR Y ADMINISTRADOR SOBRE DOCUMENTOS:"/>
    <s v="Todos los Módulos"/>
    <s v="GRM_REVISOR, GRM_ADMINISTRADOR"/>
    <s v="D_6.3"/>
    <s v="El usuario puede editar los metadatos de cualquier documento, y el sistema guarda los cambios correctamente."/>
    <s v="No"/>
    <s v="2026-07-30"/>
    <x v="0"/>
    <s v="OK"/>
  </r>
  <r>
    <x v="4"/>
    <s v="Documentación"/>
    <s v="D_6"/>
    <s v="MEDIA"/>
    <s v="PERMISOS DE REVISOR Y ADMINISTRADOR SOBRE DOCUMENTOS:"/>
    <s v="Todos los Módulos"/>
    <s v="GRM_REVISOR, GRM_ADMINISTRADOR"/>
    <s v="D_6.4"/>
    <s v="El usuario puede eliminar cualquier documento; el sistema solicita confirmación de la acción y registra la operación según la lógica definida."/>
    <s v="No"/>
    <s v="2026-07-10"/>
    <x v="0"/>
    <s v="OK"/>
  </r>
  <r>
    <x v="4"/>
    <s v="Documentación"/>
    <s v="D_7"/>
    <s v="ALTA"/>
    <s v="LOG DE CAMBIOS EN DOCUMENTOS:"/>
    <s v="Todos los Módulos"/>
    <s v="Sistema (automatico), GRM_Administrador"/>
    <s v="D_7_1"/>
    <s v="El sistema registra automáticamente en la auditoría cada acción realizada sobre un documento (creación, modificación, eliminación, descarga o visualización), incluyendo tipo de acción, usuario, fecha y hora."/>
    <s v="No"/>
    <s v="2026-07-10"/>
    <x v="0"/>
    <s v="OK"/>
  </r>
  <r>
    <x v="4"/>
    <s v="Documentación"/>
    <s v="D_7"/>
    <s v="ALTA"/>
    <s v="LOG DE CAMBIOS EN DOCUMENTOS:"/>
    <s v="Todos los Módulos"/>
    <s v="Sistema (automatico), GRM_Administrador"/>
    <s v="D_7_2"/>
    <s v="Para acciones de modificación o eliminación, el sistema registra correctamente los valores anteriores y nuevos del documento, asegurando consistencia en la trazabilidad."/>
    <s v="No"/>
    <s v="2026-07-10"/>
    <x v="0"/>
    <s v="OK"/>
  </r>
  <r>
    <x v="4"/>
    <s v="Documentación"/>
    <s v="D_7"/>
    <s v="ALTA"/>
    <s v="LOG DE CAMBIOS EN DOCUMENTOS:"/>
    <s v="Todos los Módulos"/>
    <s v="Sistema (automatico), GRM_Administrador"/>
    <s v="D_7_3"/>
    <s v="El log de auditoría es consultable desde el documento o módulo correspondiente, mostrando el historial completo de acciones asociadas al mismo."/>
    <s v="No"/>
    <s v="2026-07-10"/>
    <x v="0"/>
    <s v="OK"/>
  </r>
  <r>
    <x v="4"/>
    <s v="Documentación"/>
    <s v="D_7"/>
    <s v="ALTA"/>
    <s v="LOG DE CAMBIOS EN DOCUMENTOS:"/>
    <s v="Todos los Módulos"/>
    <s v="Sistema (automatico), GRM_Administrador"/>
    <s v="D_7_4"/>
    <s v="Solo usuarios con rol GRM_ADMINISTRADOR pueden acceder al log de auditoría; cualquier intento de acceso sin permisos es restringido."/>
    <s v="No"/>
    <m/>
    <x v="1"/>
    <s v="N/A"/>
  </r>
  <r>
    <x v="4"/>
    <s v="Documentación"/>
    <s v="D_7"/>
    <s v="ALTA"/>
    <s v="LOG DE CAMBIOS EN DOCUMENTOS:"/>
    <s v="Todos los Módulos"/>
    <s v="Sistema (automatico), GRM_Administrador"/>
    <s v="D_7_5"/>
    <s v="El sistema garantiza que los registros de auditoría no pueden ser modificados ni eliminados por usuarios, manteniendo la integridad del log."/>
    <s v="No"/>
    <m/>
    <x v="1"/>
    <s v="N/A"/>
  </r>
  <r>
    <x v="5"/>
    <s v="Incidencias"/>
    <s v="IN_1"/>
    <s v="ALTA"/>
    <s v="CREACIÓN DEL MÓDULO DE INCIDENCIAS DEL MODELO:"/>
    <s v="Incidencia de Modelos"/>
    <s v="GRM_DESA_EJECUTOR, GRM_DESA_APROBADOR, GRM_IMPLEM_EJECUTOR, GRM_IMPLEM_APROBADOR,  GRM_REVISOR, GRM_ADMINISTRADOR"/>
    <s v="IN_1.1"/>
    <s v="Al acceder al sistema, se presenta el Módulo de Incidencias en el menú de opciones de la izquierda de la pantalla"/>
    <s v="No"/>
    <s v="2026-05-15"/>
    <x v="0"/>
    <s v="OK"/>
  </r>
  <r>
    <x v="5"/>
    <s v="Incidencias"/>
    <s v="IN_2"/>
    <s v="MEDIA"/>
    <s v="DEFINICIÓN DE INCIDENCIAS DE MODELO:"/>
    <s v="Incidencia de Modelos"/>
    <s v="N/A"/>
    <s v="IN_2.1"/>
    <s v="Desestimada"/>
    <s v="No"/>
    <m/>
    <x v="1"/>
    <s v="N/A"/>
  </r>
  <r>
    <x v="5"/>
    <s v="Incidencias"/>
    <s v="IN_3"/>
    <s v="MEDIA"/>
    <s v="CREACIÓN DE TABLA T_OBS_INC:"/>
    <s v="Incidencia de Modelos"/>
    <s v="GRM_ADMINISTRADOR (solo para creación inicial), Sistema (Automático)"/>
    <s v="IN_3.1"/>
    <s v="La nueva tabla T_OBS_INC, debe generarse (para posterior descarga), por parte del Administrador, desde la opción &quot;Registra Historial&quot; en el menú superior del sistema"/>
    <s v="No"/>
    <s v="2026-06-22"/>
    <x v="0"/>
    <s v="OK"/>
  </r>
  <r>
    <x v="5"/>
    <s v="Incidencias"/>
    <s v="IN_3"/>
    <s v="MEDIA"/>
    <s v="Se debe crear la tabla T_Obs_Inc, con los campos provenientes del formulario de Incidencias de Modelos"/>
    <s v="Incidencia de Modelos"/>
    <s v="GRM_ADMINISTRADOR (solo para creación inicial), Sistema (Automático)"/>
    <s v="IN_3.2"/>
    <s v="La nueva tabla T_OBS_INC, debe estar disponible para descarga, por parte del administrador y en formato excel, en la opción &quot;Descargar Historial&quot; en el menú superior del sistema"/>
    <s v="No"/>
    <s v="2026-06-22"/>
    <x v="0"/>
    <s v="OK"/>
  </r>
  <r>
    <x v="5"/>
    <s v="Incidencias"/>
    <s v="IN_3"/>
    <s v="MEDIA"/>
    <s v="Se debe crear la tabla T_Obs_Inc, con los campos provenientes del formulario de Incidencias de Modelos"/>
    <s v="Incidencia de Modelos"/>
    <s v="GRM_ADMINISTRADOR (solo para creación inicial), Sistema (Automático)"/>
    <s v="IN_3.3"/>
    <s v="Las alertas que muestra el sistema son:"/>
    <s v="No"/>
    <s v="2026-06-10"/>
    <x v="0"/>
    <s v="OK"/>
  </r>
  <r>
    <x v="5"/>
    <s v="Incidencias"/>
    <s v="IN_3"/>
    <s v="MEDIA"/>
    <s v="Se debe crear la tabla T_Obs_Inc, con los campos provenientes del formulario de Incidencias de Modelos"/>
    <s v="Incidencia de Modelos"/>
    <s v="GRM_ADMINISTRADOR (solo para creación inicial), Sistema (Automático)"/>
    <s v="IN_3.4"/>
    <s v="Los campos y tipos de dato que debe incluir la nueva tabla T_OBS_INC, son:"/>
    <s v="No"/>
    <s v="2026-06-22"/>
    <x v="0"/>
    <s v="OK"/>
  </r>
  <r>
    <x v="5"/>
    <s v="Incidencias"/>
    <s v="IN_4"/>
    <s v="MEDIA"/>
    <s v="CARGA MASIVA DE INCIDENCIAS:"/>
    <s v="Incidencia de Modelos"/>
    <s v="GRM_DESA_EJECUTOR, GRM_DESA_APROBADOR, GRM_IMPLEM_EJECUTOR, GRM_IMPLEM_APROBADOR,  GRM_REVISOR, GRM_ADMINISTRADOR"/>
    <s v="IN_4.1"/>
    <s v="Al ingresar a la opción de &quot;Incidencias del Modelo&quot;, el usuario presiona el botón &quot;Descargar plantilla&quot; para descargar un archivo excel que le permitirá registrar las incidencias del modelo"/>
    <s v="No"/>
    <s v="2026-07-24"/>
    <x v="0"/>
    <s v="OK"/>
  </r>
  <r>
    <x v="5"/>
    <s v="Incidencias"/>
    <s v="IN_4"/>
    <s v="MEDIA"/>
    <s v="CARGA MASIVA DE INCIDENCIAS:"/>
    <s v="Incidencia de Modelos"/>
    <s v="GRM_DESA_EJECUTOR, GRM_DESA_APROBADOR, GRM_IMPLEM_EJECUTOR, GRM_IMPLEM_APROBADOR,  GRM_REVISOR, GRM_ADMINISTRADOR"/>
    <s v="IN_4.2"/>
    <s v="Para cargar masivamente las incidencias al sistema, el usuario presiona el botón &quot;Cargar Información&quot;, que le permite seleccionar la plantilla excel para la carga masiva. Otros formatos no serán reconocidos"/>
    <s v="No"/>
    <s v="2026-07-24"/>
    <x v="0"/>
    <s v="OK"/>
  </r>
  <r>
    <x v="5"/>
    <s v="Incidencias"/>
    <s v="IN_4"/>
    <s v="MEDIA"/>
    <s v="CARGA MASIVA DE INCIDENCIAS:"/>
    <s v="Incidencia de Modelos"/>
    <s v="GRM_DESA_EJECUTOR, GRM_DESA_APROBADOR, GRM_IMPLEM_EJECUTOR, GRM_IMPLEM_APROBADOR,  GRM_REVISOR, GRM_ADMINISTRADOR"/>
    <s v="IN_4.3"/>
    <s v="Al cargar la planilla excel, el sistema realiza validaciones para todas las filas de datos y genera un resumen de la carga, indicando registros válidos e inválidos"/>
    <s v="No"/>
    <s v="2026-07-24"/>
    <x v="0"/>
    <s v="OK"/>
  </r>
  <r>
    <x v="5"/>
    <s v="Incidencias"/>
    <s v="IN_4"/>
    <s v="MEDIA"/>
    <s v="CARGA MASIVA DE INCIDENCIAS:"/>
    <s v="Incidencia de Modelos"/>
    <s v="GRM_DESA_EJECUTOR, GRM_DESA_APROBADOR, GRM_IMPLEM_EJECUTOR, GRM_IMPLEM_APROBADOR,  GRM_REVISOR, GRM_ADMINISTRADOR"/>
    <s v="IN_4.4"/>
    <s v="Las alertas que muestra el sistema son:"/>
    <s v="No"/>
    <s v="2026-07-24"/>
    <x v="0"/>
    <s v="OK"/>
  </r>
  <r>
    <x v="5"/>
    <s v="Incidencias"/>
    <s v="IN_4"/>
    <s v="MEDIA"/>
    <s v="CARGA MASIVA DE INCIDENCIAS:"/>
    <s v="Incidencia de Modelos"/>
    <s v="GRM_DESA_EJECUTOR, GRM_DESA_APROBADOR, GRM_IMPLEM_EJECUTOR, GRM_IMPLEM_APROBADOR,  GRM_REVISOR, GRM_ADMINISTRADOR"/>
    <s v="IN_4.5"/>
    <s v="Los datos válidos del resumen de carga, se reflejan en la descarga de la vista T_OBS_INC"/>
    <s v="No"/>
    <s v="2026-07-24"/>
    <x v="0"/>
    <s v="OK"/>
  </r>
  <r>
    <x v="5"/>
    <s v="Incidencias"/>
    <s v="IN_5"/>
    <s v="BAJA"/>
    <s v="ALERTAS DE CORREO PARA GESTIÓN DE INCIDENCIAS:"/>
    <s v="Incidencia de Modelos"/>
    <s v="Sistema (Automático)"/>
    <s v="IN_5.1"/>
    <s v="El sistema identifica diariamente todas las incidencias a cinco días del vencimiento de la fecha de compromiso y envía un mail a sus responsables"/>
    <s v="No"/>
    <s v="2026-05-15"/>
    <x v="0"/>
    <s v="OK"/>
  </r>
  <r>
    <x v="5"/>
    <s v="Incidencias"/>
    <s v="IN_5"/>
    <s v="BAJA"/>
    <s v="ALERTAS DE CORREO PARA GESTIÓN DE INCIDENCIAS:"/>
    <s v="Incidencia de Modelos"/>
    <s v="Sistema (Automático)"/>
    <s v="IN_5.2"/>
    <s v="La hora y periodicidad del informe puede ser modificado desde el Mantendor de Configuración de alertas"/>
    <s v="No"/>
    <m/>
    <x v="1"/>
    <s v="N/A"/>
  </r>
  <r>
    <x v="5"/>
    <s v="Incidencias"/>
    <s v="IN_5"/>
    <s v="BAJA"/>
    <s v="ALERTAS DE CORREO PARA GESTIÓN DE INCIDENCIAS:"/>
    <s v="Incidencia de Modelos"/>
    <s v="Sistema (Automático)"/>
    <s v="IN_5.3"/>
    <s v="El mail enviado, se compone de la siguiente forma:"/>
    <s v="No"/>
    <s v="2026-05-15"/>
    <x v="2"/>
    <s v="OBS"/>
  </r>
  <r>
    <x v="5"/>
    <s v="Incidencias"/>
    <s v="IN_5"/>
    <s v="BAJA"/>
    <s v="ALERTAS DE CORREO PARA GESTIÓN DE INCIDENCIAS:"/>
    <s v="Incidencia de Modelos"/>
    <s v="Sistema (Automático)"/>
    <s v="IN_5.4"/>
    <s v="El sistema almacena el un log todos los envíos realizados y excepciones si las hubiese"/>
    <s v="No"/>
    <s v="2026-07-28"/>
    <x v="0"/>
    <s v="OK"/>
  </r>
  <r>
    <x v="5"/>
    <s v="Incidencias"/>
    <s v="IN_6"/>
    <s v="MEDIA"/>
    <s v="DEFINICIÓN DE INCIDENCIAS DE MODELO:"/>
    <s v="Incidencia de Modelos"/>
    <s v="N/A"/>
    <s v="IN_6.1"/>
    <s v="Desestimada"/>
    <s v="No"/>
    <m/>
    <x v="1"/>
    <s v="N/A"/>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1"/>
    <s v="Al ingresar al formulario de incidencias, debe ser posible ver los siguientes campos:"/>
    <s v="No"/>
    <s v="2026-08-11"/>
    <x v="2"/>
    <s v="OBS"/>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2"/>
    <s v="El usuario puede ingresar y editar datos de la incidencia. Sólo el administrador puede eliminarlas"/>
    <s v="No"/>
    <s v="2026-06-10"/>
    <x v="0"/>
    <s v="OK"/>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3"/>
    <s v="Si la incidencias fue enviada, se bloquea la posibilidad de editar los datos"/>
    <s v="No"/>
    <s v="2026-08-11"/>
    <x v="0"/>
    <s v="OK"/>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4"/>
    <s v="Al intentar editar una incidencia enviada, el sistema muestra mensaje de restricción:"/>
    <s v="No"/>
    <s v="2026-08-06"/>
    <x v="1"/>
    <s v="N/A"/>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5"/>
    <s v="Al adjuntar un archivo que supere el tamaño máximo (no especificado), se muestra un error y se pide reducir el tamaño."/>
    <s v="No"/>
    <s v="2026-06-10"/>
    <x v="0"/>
    <s v="OK"/>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6"/>
    <s v="Las alertas que muestra el sistema son:"/>
    <s v="No"/>
    <s v="2026-08-06"/>
    <x v="1"/>
    <s v="N/A"/>
  </r>
  <r>
    <x v="5"/>
    <s v="Incidencias"/>
    <s v="IN_6"/>
    <s v="Alto"/>
    <s v="CAMPOS DEL FORMULARIO DE INCIDENCIA DEL MODELO"/>
    <s v="Incidencia de Modelos"/>
    <s v="GRM_DESA_EJECUTOR, GRM_DESA_APROBADOR, GRM_IMPLEM_EJECUTOR, GRM_IMPLEM_APROBADOR, GRM_RESPO_SEG_EJECUTOR, GRM_RESPO_SEG_APROBADOR, GRM_VALIDADOR_EJECUTOR, GRM_VALIDADOR_APROBADOR, GRM_ADMINISTRADOR"/>
    <s v="IN_7.7"/>
    <s v="Al guardar/enviar una incidencia, se actualiza la grilla de incidencias con la nueva ingresada"/>
    <s v="Si"/>
    <s v="2026-06-10"/>
    <x v="0"/>
    <s v="OK"/>
  </r>
  <r>
    <x v="5"/>
    <s v="Incidencias"/>
    <s v="IN_8"/>
    <s v="Alto"/>
    <s v="MANTENEDOR DE ESTADOS DE INCIDENCIA"/>
    <s v="Incidencia de Modelos"/>
    <s v="GRM_ADMINISTRADOR"/>
    <s v="IN_8.1"/>
    <s v="Al acceder al mantendor de estados, se muestra la lista de estados existentes con sus datos."/>
    <s v="No"/>
    <s v="2026-05-15"/>
    <x v="0"/>
    <s v="OK"/>
  </r>
  <r>
    <x v="5"/>
    <s v="Incidencias"/>
    <s v="IN_8"/>
    <s v="Alto"/>
    <s v="MANTENEDOR DE ESTADOS DE INCIDENCIA"/>
    <s v="Incidencia de Modelos"/>
    <s v="GRM_ADMINISTRADOR"/>
    <s v="IN_8.2"/>
    <s v="El administrador puede Crear un nuevo estado, Editar un estado existente o Desactivar un estado (no se elimina, sólo lo marca inactivo). Los cambios se reflejan inmediatamente en el formulario de incidencias."/>
    <s v="No"/>
    <s v="2026-05-15"/>
    <x v="0"/>
    <s v="OK"/>
  </r>
  <r>
    <x v="5"/>
    <s v="Incidencias"/>
    <s v="IN_8"/>
    <s v="Alto"/>
    <s v="MANTENEDOR DE ESTADOS DE INCIDENCIA"/>
    <s v="Incidencia de Modelos"/>
    <s v="GRM_ADMINISTRADOR"/>
    <s v="IN_8.3"/>
    <s v="Al intentar crear un estado duplicado, se muestra error de validación."/>
    <s v="No"/>
    <s v="2026-06-11"/>
    <x v="0"/>
    <s v="OK"/>
  </r>
  <r>
    <x v="5"/>
    <s v="Incidencias"/>
    <s v="IN_8"/>
    <s v="Alto"/>
    <s v="MANTENEDOR DE ESTADOS DE INCIDENCIA"/>
    <s v="Incidencia de Modelos"/>
    <s v="GRM_ADMINISTRADOR"/>
    <s v="IN_8.4"/>
    <s v="Al intentar desactivar un estado que se encuentra en uso, el sistema muestra una advertencia y se bloquea la opción."/>
    <s v="No"/>
    <m/>
    <x v="1"/>
    <s v="N/A"/>
  </r>
  <r>
    <x v="5"/>
    <s v="Incidencias"/>
    <s v="IN_8"/>
    <s v="Alto"/>
    <s v="MANTENEDOR DE ESTADOS DE INCIDENCIA"/>
    <s v="Incidencia de Modelos"/>
    <s v="GRM_ADMINISTRADOR"/>
    <s v="IN_8.5"/>
    <s v="El campo &quot;descripción&quot; es obligatorio"/>
    <s v="No"/>
    <m/>
    <x v="1"/>
    <s v="N/A"/>
  </r>
  <r>
    <x v="5"/>
    <s v="Incidencias"/>
    <s v="IN_8"/>
    <s v="Alto"/>
    <s v="MANTENEDOR DE ESTADOS DE INCIDENCIA"/>
    <s v="Incidencia de Modelos"/>
    <s v="GRM_ADMINISTRADOR"/>
    <s v="IN_8.6"/>
    <s v="Las alertas que muestra el sistema son:"/>
    <s v="No"/>
    <s v="2026-06-10"/>
    <x v="0"/>
    <s v="OK"/>
  </r>
  <r>
    <x v="5"/>
    <s v="Incidencias"/>
    <s v="IN_9"/>
    <s v="Alto"/>
    <s v="MANTENEDOR DE CALIFICACIONES DE INCIDENCIA:"/>
    <s v="Incidencia de Modelos"/>
    <s v="GRM_ADMINISTRADOR"/>
    <s v="IN_9.1"/>
    <s v="El mantenedor debe permitir Agregar, Modificar y Eliminar lógicamente los Tipos de Modelación"/>
    <s v="No"/>
    <s v="2026-05-15"/>
    <x v="0"/>
    <s v="OK"/>
  </r>
  <r>
    <x v="5"/>
    <s v="Incidencias"/>
    <s v="IN_9"/>
    <s v="Alto"/>
    <s v="MANTENEDOR DE CALIFICACIONES DE INCIDENCIA:"/>
    <s v="Incidencia de Modelos"/>
    <s v="GRM_ADMINISTRADOR"/>
    <s v="IN_9.2"/>
    <s v="El mantenedor debe validar los campos de la siguiente forma:"/>
    <s v="No"/>
    <m/>
    <x v="1"/>
    <s v="N/A"/>
  </r>
  <r>
    <x v="5"/>
    <s v="Incidencias"/>
    <s v="IN_9"/>
    <s v="Alto"/>
    <s v="MANTENEDOR DE CALIFICACIONES DE INCIDENCIA:"/>
    <s v="Incidencia de Modelos"/>
    <s v="GRM_ADMINISTRADOR"/>
    <s v="IN_9.3"/>
    <s v="Las alertas que muestra el sistema son:"/>
    <s v="No"/>
    <s v="2026-06-11"/>
    <x v="0"/>
    <s v="OK"/>
  </r>
  <r>
    <x v="5"/>
    <s v="Incidencias"/>
    <s v="IN_10"/>
    <s v="Medio"/>
    <s v="ELIMINACIÓN DE INCIDENCIAS CON MOTIVO:"/>
    <s v="Incidencia de Modelos"/>
    <s v="GRM_ADMINISTRADOR"/>
    <s v="IN_10.1"/>
    <s v="Un administrador, al hacer clic en el botón &quot;Eliminar&quot; de una incidencia, se muestra un diálogo modal pidiendo el motivo de la eliminación."/>
    <s v="No"/>
    <s v="2026-06-11"/>
    <x v="0"/>
    <s v="OK"/>
  </r>
  <r>
    <x v="5"/>
    <s v="Incidencias"/>
    <s v="IN_10"/>
    <s v="Medio"/>
    <s v="ELIMINACIÓN DE INCIDENCIAS CON MOTIVO:"/>
    <s v="Incidencia de Modelos"/>
    <s v="GRM_ADMINISTRADOR"/>
    <s v="IN_10.2"/>
    <s v="El motivo de eliminación debe tener un mínimo de 10 caracteres. Si el motivo es muy corto, se muestra mensaje de error y se pide ampliar."/>
    <s v="No"/>
    <s v="2026-06-11"/>
    <x v="0"/>
    <s v="OK"/>
  </r>
  <r>
    <x v="5"/>
    <s v="Incidencias"/>
    <s v="IN_10"/>
    <s v="Medio"/>
    <s v="ELIMINACIÓN DE INCIDENCIAS CON MOTIVO:"/>
    <s v="Incidencia de Modelos"/>
    <s v="GRM_ADMINISTRADOR"/>
    <s v="IN_10.3"/>
    <s v="Al confirmar la eliminación, se registra la eliminación en la tabla de auditoría, y se muestra un mensaje de éxito."/>
    <s v="No"/>
    <s v="2026-08-11"/>
    <x v="0"/>
    <s v="OK"/>
  </r>
  <r>
    <x v="5"/>
    <s v="Incidencias"/>
    <s v="IN_10"/>
    <s v="Medio"/>
    <s v="ELIMINACIÓN DE INCIDENCIAS CON MOTIVO:"/>
    <s v="Incidencia de Modelos"/>
    <s v="GRM_ADMINISTRADOR"/>
    <s v="IN_10.4"/>
    <s v="Al eliminar una incidencia, se actualiza la grilla de incidencias"/>
    <s v="No"/>
    <s v="2026-06-11"/>
    <x v="0"/>
    <s v="OK"/>
  </r>
  <r>
    <x v="5"/>
    <s v="Incidencias"/>
    <s v="IN_10"/>
    <s v="Medio"/>
    <s v="ELIMINACIÓN DE INCIDENCIAS CON MOTIVO:"/>
    <s v="Incidencia de Modelos"/>
    <s v="GRM_ADMINISTRADOR"/>
    <s v="IN_10.5"/>
    <s v="Si la incidencia tiene dependencias (o está referenciada por otro procesos), se muestra un mensaje de error detallando las dependencias."/>
    <s v="No"/>
    <s v="2026-05-15"/>
    <x v="0"/>
    <s v="OK"/>
  </r>
  <r>
    <x v="5"/>
    <s v="Incidencias"/>
    <s v="IN_10"/>
    <s v="Medio"/>
    <s v="ELIMINACIÓN DE INCIDENCIAS CON MOTIVO:"/>
    <s v="Incidencia de Modelos"/>
    <s v="GRM_ADMINISTRADOR"/>
    <s v="IN_10.6"/>
    <s v="Las alertas que muestra el sistema son:"/>
    <s v="No"/>
    <s v="2026-05-15"/>
    <x v="0"/>
    <s v="OK"/>
  </r>
  <r>
    <x v="6"/>
    <s v="Información Inventario"/>
    <s v="II_1"/>
    <s v="ALTA"/>
    <s v="DOS PESTAÑAS RESUMEN E INVENTARIO:"/>
    <s v="Información Inventario"/>
    <s v="Pestaña Resumen: TODOS LOS USUARIOS."/>
    <s v="II_1.1"/>
    <s v="Al acceder al módulo Información del Inventario, el sistema muestra la página principal con dos pestañas visibles: Resumen e Inventario"/>
    <s v="No"/>
    <s v="2026-06-22"/>
    <x v="0"/>
    <s v="OK"/>
  </r>
  <r>
    <x v="6"/>
    <s v="Información Inventario"/>
    <s v="II_1"/>
    <s v="ALTA"/>
    <s v="Se debe generar dos pestañas llamadas Resumen y la otra Inventario"/>
    <s v="Información Inventario"/>
    <s v="Pestaña Inventario: GRM_DESA_EJECUTOR, GRM_DESA_APROBADOR, GRM_IMPLEM_EJECUTOR, GRM_IMPLEM_APROBADOR, GRM_RESPO_SEG_EJECUTOR, GRM_RESPO_SEG_APROBADOR, GRM_VALIDADOR_EJECUTOR, GRM_VALIDADOR_APROBADOR, GRM_REVISOR, GRM_ADMINISTRADOR"/>
    <s v="II_1.2"/>
    <s v="Por defecto, el sistema carga la pestaña Resumen como pestaña activa, mostrando el contenido correspondiente de métricas e información general del inventario."/>
    <s v="No"/>
    <s v="2026-06-22"/>
    <x v="0"/>
    <s v="OK"/>
  </r>
  <r>
    <x v="6"/>
    <s v="Información Inventario"/>
    <s v="II_1"/>
    <s v="ALTA"/>
    <s v="Se debe generar dos pestañas llamadas Resumen y la otra Inventario"/>
    <s v="Información Inventario"/>
    <s v="Pestaña Inventario: GRM_DESA_EJECUTOR, GRM_DESA_APROBADOR, GRM_IMPLEM_EJECUTOR, GRM_IMPLEM_APROBADOR, GRM_RESPO_SEG_EJECUTOR, GRM_RESPO_SEG_APROBADOR, GRM_VALIDADOR_EJECUTOR, GRM_VALIDADOR_APROBADOR, GRM_REVISOR, GRM_ADMINISTRADOR"/>
    <s v="II_1.3"/>
    <s v="Al hacer clic en cada pestaña (Resumen o Inventario), el sistema cambia correctamente el foco de navegación y carga el contenido correspondiente en el área principal de la página, reflejando visualmente la pestaña activa."/>
    <s v="No"/>
    <s v="2026-06-22"/>
    <x v="0"/>
    <s v="OK"/>
  </r>
  <r>
    <x v="6"/>
    <s v="Información Inventario"/>
    <s v="II_1"/>
    <s v="ALTA"/>
    <s v="Se debe generar dos pestañas llamadas Resumen y la otra Inventario"/>
    <s v="Información Inventario"/>
    <s v="Pestaña Inventario: GRM_DESA_EJECUTOR, GRM_DESA_APROBADOR, GRM_IMPLEM_EJECUTOR, GRM_IMPLEM_APROBADOR, GRM_RESPO_SEG_EJECUTOR, GRM_RESPO_SEG_APROBADOR, GRM_VALIDADOR_EJECUTOR, GRM_VALIDADOR_APROBADOR, GRM_REVISOR, GRM_ADMINISTRADOR"/>
    <s v="II_1.4"/>
    <s v="El sistema valida los permisos de acceso por tab: la pestaña Resumen está disponible para todos los usuarios, mientras que la pestaña Inventario solo es accesible para los roles definidos. En caso de no contar con permisos, la pestaña se presenta oculta o deshabilitada."/>
    <s v="No"/>
    <s v="2026-06-22"/>
    <x v="0"/>
    <s v="OK"/>
  </r>
  <r>
    <x v="6"/>
    <s v="Información Inventario"/>
    <s v="II_2"/>
    <s v="ALTA"/>
    <s v="PESTAÑA RESUMEN CON FUNCIONALIDAD DE VISUALIZACIÓN:"/>
    <s v="Pestaña Resumen"/>
    <s v="Pestaña Resumen: TODOS LOS USUARIOS."/>
    <s v="II_2.1"/>
    <s v="Al ingresar a la pestaña Resumen, el sistema muestra el dashboard de visualización del inventario con métricas e indicadores disponibles, incluyendo información agregada de modelos, estados y etapas del ciclo de vida."/>
    <s v="No"/>
    <s v="2026-06-22"/>
    <x v="0"/>
    <s v="OK"/>
  </r>
  <r>
    <x v="6"/>
    <s v="Información Inventario"/>
    <s v="II_2"/>
    <s v="ALTA"/>
    <s v="Dentro de la pestaña Resumen debe estar la funcionalidad actual llamada Visualización"/>
    <s v="Pestaña Resumen"/>
    <s v="Pestaña Resumen: TODOS LOS USUARIOS."/>
    <s v="II_2.2"/>
    <s v="El usuario interactúa con las mejoras en la visualización de la pestaña Resumen,  como: cantidad total de modelos por estado, distribución por etapas del ciclo de vida, modelos pendientes de validación, modelos en producción, entre otros indicadores relevantes."/>
    <s v="No"/>
    <s v="2026-06-22"/>
    <x v="1"/>
    <s v="N/A"/>
  </r>
  <r>
    <x v="6"/>
    <s v="Información Inventario"/>
    <s v="II_3"/>
    <s v="Medio"/>
    <s v="GENERACIÓN DE TABLA INVENTARIO POR QUERY O MANTENEDOR:"/>
    <s v="Pestaña Inventario"/>
    <s v="GRM_ADMINISTRADOR"/>
    <s v="II_3.1"/>
    <s v="El sistema permite acceder a la funcionalidad de configuración de la tabla de inventario solo a usuarios con rol GRM_ADMINISTRADOR, mostrando el editor SQL o Query Builder con la configuración actual disponible."/>
    <s v="No"/>
    <s v="2026-06-23"/>
    <x v="1"/>
    <s v="N/A"/>
  </r>
  <r>
    <x v="6"/>
    <s v="Información Inventario"/>
    <s v="II_3"/>
    <s v="Medio"/>
    <s v="El Administrador debe poder generar la tabla, a través, de query u otra por mantenedor"/>
    <s v="Pestaña Inventario"/>
    <s v="GRM_ADMINISTRADOR"/>
    <s v="II_3.2"/>
    <s v="El administrador puede modificar la query de generación de la tabla de inventario y ejecutar un preview de resultados, validando que la consulta retorna información según lo configurado antes de guardar los cambios."/>
    <s v="No"/>
    <s v="2026-06-23"/>
    <x v="1"/>
    <s v="N/A"/>
  </r>
  <r>
    <x v="6"/>
    <s v="Información Inventario"/>
    <s v="II_3"/>
    <s v="Medio"/>
    <s v="El Administrador debe poder generar la tabla, a través, de query u otra por mantenedor"/>
    <s v="Pestaña Inventario"/>
    <s v="GRM_ADMINISTRADOR"/>
    <s v="II_3.3"/>
    <s v="El sistema valida la query ingresada, asegurando que tenga sintaxis correcta, que retorne las columnas esperadas y que no contenga sentencias no permitidas. En caso de error, el sistema muestra la alerta: &quot;Error en la query. Verifique la sintaxis&quot;."/>
    <s v="No"/>
    <s v="2026-06-23"/>
    <x v="1"/>
    <s v="N/A"/>
  </r>
  <r>
    <x v="6"/>
    <s v="Información Inventario"/>
    <s v="II_3"/>
    <s v="Medio"/>
    <s v="El Administrador debe poder generar la tabla, a través, de query u otra por mantenedor"/>
    <s v="Pestaña Inventario"/>
    <s v="GRM_ADMINISTRADOR"/>
    <s v="II_3.4"/>
    <s v="Una vez guardada la configuración, el sistema actualiza la tabla de inventario en base a la query definida, reflejando los cambios en la visualización y manteniendo la configuración persistente para futuras sesiones."/>
    <s v="No"/>
    <s v="2026-06-23"/>
    <x v="1"/>
    <s v="N/A"/>
  </r>
  <r>
    <x v="6"/>
    <s v="Información Inventario"/>
    <s v="II_4"/>
    <s v="ALTA"/>
    <s v="VISTA DE TABLA INVENTARIO POR PERFILES:"/>
    <s v="Pestaña Inventario"/>
    <s v="Todos los perfiles Excepto GRM_USUARIO, GRM_USUARIO_AUDITOR, GRM_USUARIO_EXTERNO"/>
    <s v="II_4.1"/>
    <s v="Al acceder a la pestaña Inventario, el sistema muestra la tabla de inventario generada a partir de la query configurada, cargando los datos correspondientes según el perfil del usuario."/>
    <s v="No"/>
    <s v="2026-07-07"/>
    <x v="0"/>
    <s v="OK"/>
  </r>
  <r>
    <x v="6"/>
    <s v="Información Inventario"/>
    <s v="II_4"/>
    <s v="ALTA"/>
    <s v="Los distintos perfiles deben poder ver la tabla inventario generada por la Query"/>
    <s v="Pestaña Inventario"/>
    <s v="Todos los perfiles Excepto GRM_USUARIO, GRM_USUARIO_AUDITOR, GRM_USUARIO_EXTERNO"/>
    <s v="II_4.2"/>
    <s v="El sistema identifica el perfil del usuario y aplica automáticamente los filtros correspondientes, mostrando únicamente los modelos que el usuario tiene permiso de visualizar."/>
    <s v="No"/>
    <s v="2026-06-23"/>
    <x v="1"/>
    <s v="N/A"/>
  </r>
  <r>
    <x v="6"/>
    <s v="Información Inventario"/>
    <s v="II_4"/>
    <s v="ALTA"/>
    <s v="Los distintos perfiles deben poder ver la tabla inventario generada por la Query"/>
    <s v="Pestaña Inventario"/>
    <s v="Todos los perfiles Excepto GRM_USUARIO, GRM_USUARIO_AUDITOR, GRM_USUARIO_EXTERNO"/>
    <s v="II_4.3"/>
    <s v="La tabla muestra las columnas definidas en la query configurada (por ejemplo Código, Nombre, Etapa, Estado, Fecha, Responsable, ERM), asegurando consistencia entre la configuración y la visualización."/>
    <s v="No"/>
    <s v="2026-06-23"/>
    <x v="0"/>
    <s v="OK"/>
  </r>
  <r>
    <x v="6"/>
    <s v="Información Inventario"/>
    <s v="II_4"/>
    <s v="ALTA"/>
    <s v="Los distintos perfiles deben poder ver la tabla inventario generada por la Query"/>
    <s v="Pestaña Inventario"/>
    <s v="Todos los perfiles Excepto GRM_USUARIO, GRM_USUARIO_AUDITOR, GRM_USUARIO_EXTERNO"/>
    <s v="II_4.4"/>
    <s v="El usuario puede interactuar con la tabla mediante funcionalidades del reporte interactivo: aplicar filtros adicionales, realizar búsquedas, ordenar columnas y usar el menú de acciones disponible."/>
    <s v="No"/>
    <s v="2026-06-23"/>
    <x v="0"/>
    <s v="OK"/>
  </r>
  <r>
    <x v="6"/>
    <s v="Información Inventario"/>
    <s v="II_4"/>
    <s v="ALTA"/>
    <s v="Los distintos perfiles deben poder ver la tabla inventario generada por la Query"/>
    <s v="Pestaña Inventario"/>
    <s v="Todos los perfiles Excepto GRM_USUARIO, GRM_USUARIO_AUDITOR, GRM_USUARIO_EXTERNO"/>
    <s v="II_4.5"/>
    <s v="Si no existen datos disponibles para el perfil del usuario, el sistema muestra un mensaje indicando que no hay modelos disponibles para su visualización."/>
    <s v="No"/>
    <s v="2026-06-23"/>
    <x v="1"/>
    <s v="N/A"/>
  </r>
  <r>
    <x v="6"/>
    <s v="Información Inventario"/>
    <s v="II_5"/>
    <s v="Bajo"/>
    <s v="FORMATO DE TABLAS SEGÚN ESTÁNDARES ACTUALES:"/>
    <s v="Pestaña Inventario"/>
    <s v="Sistema (Automatico)"/>
    <s v="II_5.1"/>
    <s v="El sistema aplica correctamente los estilos definidos (encabezados, filas alternadas, ancho de columnas adaptativo y ordenamiento de columnas), asegurando una correcta visualización y legibilidad de la información."/>
    <s v="No"/>
    <s v="2026-06-23"/>
    <x v="0"/>
    <s v="OK"/>
  </r>
  <r>
    <x v="6"/>
    <s v="Información Inventario"/>
    <s v="II_5"/>
    <s v="Bajo"/>
    <s v="Las especies de vistas generadas por mantenedor deben tener el mismo formato de las tablas actuales."/>
    <s v="Pestaña Inventario"/>
    <s v="Sistema (Automatico)"/>
    <s v="II_5.2"/>
    <s v="El formato de la tabla se aplica correctamente al exportar o imprimir, manteniendo coherencia visual y legibilidad de la información."/>
    <s v="No"/>
    <s v="2026-06-23"/>
    <x v="0"/>
    <s v="OK"/>
  </r>
  <r>
    <x v="6"/>
    <s v="Información Inventario"/>
    <s v="II_6"/>
    <s v="ALTA"/>
    <s v="RESTRICCIÓN DE VALORES DE VISTA POR ÁREA Y FAMILIA:"/>
    <s v="Pestaña Inventario"/>
    <s v="Sistema (Automatico)"/>
    <s v="II_6.1"/>
    <s v="Desestimada"/>
    <s v="No"/>
    <m/>
    <x v="1"/>
    <s v="N/A"/>
  </r>
  <r>
    <x v="6"/>
    <s v="Información Inventario"/>
    <s v="II_7"/>
    <s v="Medio"/>
    <s v="MANTENEDORES PARA LAS QUERIES DEL INVENTARIO:"/>
    <s v="Pestaña Inventario"/>
    <s v="GRM_ADMINISTRADOR"/>
    <s v="II_7.1"/>
    <s v="El sistema permite el acceso al mantenedor de queries únicamente a usuarios con rol GRM_ADMINISTRADOR, mostrando la lista de queries configuradas disponibles para gestión."/>
    <s v="No"/>
    <s v="2026-06-23"/>
    <x v="0"/>
    <s v="OK"/>
  </r>
  <r>
    <x v="6"/>
    <s v="Información Inventario"/>
    <s v="II_7"/>
    <s v="Medio"/>
    <s v="Se deben realizar mantenedores para las querys que generen las tablas"/>
    <s v="Pestaña Inventario"/>
    <s v="GRM_ADMINISTRADOR"/>
    <s v="II_7.2"/>
    <s v="El administrador puede crear, editar, duplicar, activar o desactivar queries mediante el formulario correspondiente, ingresando nombre, descripción, consulta SQL, estado, indicador de principal y orden."/>
    <s v="No"/>
    <s v="2026-07-20"/>
    <x v="0"/>
    <s v="OK"/>
  </r>
  <r>
    <x v="6"/>
    <s v="Información Inventario"/>
    <s v="II_7"/>
    <s v="Medio"/>
    <s v="Se deben realizar mantenedores para las querys que generen las tablas"/>
    <s v="Pestaña Inventario"/>
    <s v="GRM_ADMINISTRADOR"/>
    <s v="II_7.3"/>
    <s v="El sistema valida la query ingresada, asegurando que sea sintácticamente correcta, que el nombre no esté duplicado y que cumpla con las reglas definidas. En caso de error, el sistema muestra la alerta: &quot;La query tiene errores&quot;."/>
    <s v="No"/>
    <s v="2026-06-30"/>
    <x v="0"/>
    <s v="OK"/>
  </r>
  <r>
    <x v="6"/>
    <s v="Información Inventario"/>
    <s v="II_7"/>
    <s v="Medio"/>
    <s v="Se deben realizar mantenedores para las querys que generen las tablas"/>
    <s v="Pestaña Inventario"/>
    <s v="GRM_ADMINISTRADOR"/>
    <s v="II_7.4"/>
    <s v="Al guardar una query correctamente, el sistema muestra la alerta: &quot;Query guardada exitosamente&quot;, registrando además los cambios en el historial correspondiente."/>
    <s v="No"/>
    <s v="2026-06-30"/>
    <x v="0"/>
    <s v="OK"/>
  </r>
  <r>
    <x v="6"/>
    <s v="Información Inventario"/>
    <s v="II_7"/>
    <s v="Medio"/>
    <s v="Se deben realizar mantenedores para las querys que generen las tablas"/>
    <s v="Pestaña Inventario"/>
    <s v="GRM_ADMINISTRADOR"/>
    <s v="II_7.5"/>
    <s v="El sistema valida reglas de negocio sobre las queries: no permite eliminar una query en uso y asegura que solo exista una query marcada como principal al mismo tiempo."/>
    <s v="No"/>
    <s v="2026-06-23"/>
    <x v="1"/>
    <s v="N/A"/>
  </r>
  <r>
    <x v="6"/>
    <s v="Información Inventario"/>
    <s v="II_7"/>
    <s v="Medio"/>
    <s v="Se deben realizar mantenedores para las querys que generen las tablas"/>
    <s v="Pestaña Inventario"/>
    <s v="GRM_ADMINISTRADOR"/>
    <s v="II_7.6"/>
    <s v="Al eliminar una query, el sistema solicita confirmación mediante la alerta: &quot;¿Está seguro de eliminar esta query?&quot;, ejecutando la acción solo tras confirmación del usuario."/>
    <s v="No"/>
    <s v="2026-06-23"/>
    <x v="0"/>
    <s v="OK"/>
  </r>
  <r>
    <x v="6"/>
    <s v="Información Inventario"/>
    <s v="II_8"/>
    <s v="Medio"/>
    <s v="FILTROS POR FAMILIAS, ERM Y OTROS CRITERIOS:"/>
    <s v="Pestaña Inventario"/>
    <s v="Sistema(Automático)"/>
    <s v="II_8.1"/>
    <s v="El sistema permite aplicar filtros sobre la tabla de inventario mediante distintos criterios disponibles (familia, ERM, etapa, estado, área, fecha, entre otros), utilizando los componentes del reporte interactivo."/>
    <s v="No"/>
    <s v="2026-07-24"/>
    <x v="0"/>
    <s v="OK"/>
  </r>
  <r>
    <x v="6"/>
    <s v="Información Inventario"/>
    <s v="II_8"/>
    <s v="Medio"/>
    <s v="FILTROS POR FAMILIAS, ERM Y OTROS CRITERIOS:"/>
    <s v="Pestaña Inventario"/>
    <s v="Sistema(Automático)"/>
    <s v="II_8.2"/>
    <s v="El usuario puede combinar múltiples filtros simultáneamente, y el sistema actualiza la tabla mostrando únicamente los resultados que cumplen con todos los criterios aplicados."/>
    <s v="No"/>
    <s v="2026-06-23"/>
    <x v="0"/>
    <s v="OK"/>
  </r>
  <r>
    <x v="6"/>
    <s v="Información Inventario"/>
    <s v="II_8"/>
    <s v="Medio"/>
    <s v="FILTROS POR FAMILIAS, ERM Y OTROS CRITERIOS:"/>
    <s v="Pestaña Inventario"/>
    <s v="Sistema(Automático)"/>
    <s v="II_8.3"/>
    <s v="Al aplicar filtros, el sistema muestra la alerta: &quot;X resultados encontrados para los filtros aplicados&quot;, reflejando la cantidad de registros obtenidos."/>
    <s v="No"/>
    <s v="2026-06-23"/>
    <x v="0"/>
    <s v="OK"/>
  </r>
  <r>
    <x v="6"/>
    <s v="Información Inventario"/>
    <s v="II_8"/>
    <s v="Medio"/>
    <s v="FILTROS POR FAMILIAS, ERM Y OTROS CRITERIOS:"/>
    <s v="Pestaña Inventario"/>
    <s v="Sistema(Automático)"/>
    <s v="II_8.4"/>
    <s v="El usuario puede guardar la configuración de filtros como una vista personalizada, y el sistema muestra la alerta: &quot;Vista guardada exitosamente&quot;, permitiendo reutilizarla posteriormente."/>
    <s v="No"/>
    <s v="2026-06-23"/>
    <x v="0"/>
    <s v="OK"/>
  </r>
  <r>
    <x v="6"/>
    <s v="Información Inventario"/>
    <s v="II_8"/>
    <s v="Medio"/>
    <s v="FILTROS POR FAMILIAS, ERM Y OTROS CRITERIOS:"/>
    <s v="Pestaña Inventario"/>
    <s v="Sistema(Automático)"/>
    <s v="II_8.5"/>
    <s v="Si los filtros aplicados no arrojan resultados, el sistema muestra un mensaje indicando que no existen modelos que coincidan con los criterios ingresados, y permite limpiar o modificar los filtros."/>
    <s v="No"/>
    <s v="2026-06-23"/>
    <x v="0"/>
    <s v="OK"/>
  </r>
  <r>
    <x v="6"/>
    <s v="Información Inventario"/>
    <s v="II_9"/>
    <s v="Alto"/>
    <s v="DESCARGA DE TABLA DE INVENTARIO:"/>
    <s v="Pestaña Inventario"/>
    <s v="Sistema(Automático)"/>
    <s v="II_9.1"/>
    <s v="El usuario puede acceder a la opción de descarga desde el menú de acciones del reporte interactivo y seleccionar el formato disponible (PDF o HTML) para exportar la tabla de inventario."/>
    <s v="No"/>
    <s v="2026-06-23"/>
    <x v="0"/>
    <s v="OK"/>
  </r>
  <r>
    <x v="6"/>
    <s v="Información Inventario"/>
    <s v="II_9"/>
    <s v="Alto"/>
    <s v="DESCARGA DE TABLA DE INVENTARIO:"/>
    <s v="Pestaña Inventario"/>
    <s v="Sistema(Automático)"/>
    <s v="II_9.2"/>
    <s v="Al ejecutar la descarga, el sistema genera el archivo utilizando los datos actualmente visibles en la tabla, respetando los filtros aplicados por el usuario."/>
    <s v="No"/>
    <s v="2026-06-23"/>
    <x v="0"/>
    <s v="OK"/>
  </r>
  <r>
    <x v="6"/>
    <s v="Información Inventario"/>
    <s v="II_10"/>
    <s v="Medio"/>
    <s v="NOTA DE VALIDACIÓN REFLEJADA EN RESUMEN:"/>
    <s v="Pestaña Resumen"/>
    <s v="TODOS LOS USUARIOS"/>
    <s v="II_10.1"/>
    <s v="Al ingresar a la pestaña Resumen, el sistema muestra la nota final de validación asociada al modelo en una tarjeta o componente destacado dentro de la interfaz."/>
    <s v="No"/>
    <s v="2026-07-15"/>
    <x v="0"/>
    <s v="OK"/>
  </r>
  <r>
    <x v="6"/>
    <s v="Información Inventario"/>
    <s v="II_10"/>
    <s v="Medio"/>
    <s v="NOTA DE VALIDACIÓN REFLEJADA EN RESUMEN:"/>
    <s v="Pestaña Resumen"/>
    <s v="TODOS LOS USUARIOS"/>
    <s v="II_10.2"/>
    <s v="La nota mostrada corresponde exclusivamente a la nota final del informe de validación, sin incluir otras notas intermedias o parciales."/>
    <s v="No"/>
    <s v="2026-07-28"/>
    <x v="2"/>
    <s v="OBS"/>
  </r>
  <r>
    <x v="6"/>
    <s v="Información Inventario"/>
    <s v="II_10"/>
    <s v="Medio"/>
    <s v="NOTA DE VALIDACIÓN REFLEJADA EN RESUMEN:"/>
    <s v="Pestaña Resumen"/>
    <s v="TODOS LOS USUARIOS"/>
    <s v="II_10.3"/>
    <s v="Si no existe una nota final de validación para el modelo, el sistema muestra un valor representativo indicando estado pendiente o equivalente, según la configuración."/>
    <s v="No"/>
    <s v="2026-07-28"/>
    <x v="0"/>
    <s v="OK"/>
  </r>
  <r>
    <x v="6"/>
    <s v="Información Inventario"/>
    <s v="II_10"/>
    <s v="Medio"/>
    <s v="NOTA DE VALIDACIÓN REFLEJADA EN RESUMEN:"/>
    <s v="Pestaña Resumen"/>
    <s v="TODOS LOS USUARIOS"/>
    <s v="II_10.4"/>
    <s v="El usuario puede interactuar con el componente de la nota (cuando aplique), accediendo al detalle del informe de validación asociado."/>
    <s v="No"/>
    <s v="2026-07-14"/>
    <x v="0"/>
    <s v="OK"/>
  </r>
  <r>
    <x v="6"/>
    <s v="Información Inventario"/>
    <s v="II_11"/>
    <s v="Bajo"/>
    <s v="AJUSTE DE NOMBRES DE COMPONENTES ERM:"/>
    <s v="Pestaña Resumen"/>
    <s v="Sistema(Automático)"/>
    <s v="II_11.1"/>
    <s v="El sistema muestra los nombres de las componentes ERM utilizando la nueva nomenclatura definida, reflejando los cambios en todas las vistas donde se presentan estos componentes."/>
    <s v="No"/>
    <s v="2026-06-25"/>
    <x v="0"/>
    <s v="OK"/>
  </r>
  <r>
    <x v="6"/>
    <s v="Información Inventario"/>
    <s v="II_12"/>
    <s v="Bajo"/>
    <s v="COLORES PARA CLASIFICACIÓN DE COMPONENTES ERM:"/>
    <s v="Pestaña Resumen"/>
    <s v="TODOS LOS USUARIOS"/>
    <s v="II_12.1"/>
    <s v="El sistema muestra los componentes ERM utilizando colores asociados a cada clasificación definida (por ejemplo Incertidumbre Total, Materialidad, Evaluación de Riesgo de Modelo), facilitando la identificación visual de los datos."/>
    <s v="No"/>
    <s v="2026-07-14"/>
    <x v="0"/>
    <s v="OK"/>
  </r>
  <r>
    <x v="6"/>
    <s v="Información Inventario"/>
    <s v="II_12"/>
    <s v="Bajo"/>
    <s v="COLORES PARA CLASIFICACIÓN DE COMPONENTES ERM:"/>
    <s v="Pestaña Resumen"/>
    <s v="TODOS LOS USUARIOS"/>
    <s v="II_12.2"/>
    <s v="Los colores aplicados a cada clasificación son consistentes en todas las vistas del sistema, manteniendo uniformidad en la representación visual de los componentes ERM."/>
    <s v="No"/>
    <s v="2026-06-25"/>
    <x v="0"/>
    <s v="OK"/>
  </r>
  <r>
    <x v="6"/>
    <s v="Información Inventario"/>
    <s v="II_12"/>
    <s v="Bajo"/>
    <s v="COLORES PARA CLASIFICACIÓN DE COMPONENTES ERM:"/>
    <s v="Pestaña Resumen"/>
    <s v="TODOS LOS USUARIOS"/>
    <s v="II_12.3"/>
    <s v="En caso de que una clasificación no tenga un color configurado, el sistema aplica un color por defecto, permitiendo igualmente la visualización del componente."/>
    <s v="No"/>
    <s v="2026-07-24"/>
    <x v="0"/>
    <s v="OK"/>
  </r>
  <r>
    <x v="6"/>
    <s v="Información Inventario"/>
    <s v="II_13"/>
    <s v="Medio"/>
    <s v="VENTANAS DE VALIDACIÓN CON DETALLE:"/>
    <s v="Pestaña Resumen"/>
    <s v="TODOS LOS USUARIOS"/>
    <s v="II_13.1"/>
    <s v="En la pestaña Resumen, el sistema muestra indicadores o componentes de validación que contienen información resumida de los informes disponibles."/>
    <s v="No"/>
    <s v="2026-06-26"/>
    <x v="0"/>
    <s v="OK"/>
  </r>
  <r>
    <x v="6"/>
    <s v="Información Inventario"/>
    <s v="II_13"/>
    <s v="Medio"/>
    <s v="Se deben agregar N ventanas de validación estas ventanas deben tener los últimos ID Informe, N° Observaciones, Nota Validación (final) y N° Observaciones Invalidantes"/>
    <s v="Pestaña Resumen"/>
    <s v="TODOS LOS USUARIOS"/>
    <s v="II_13.2"/>
    <s v="Al hacer clic en un indicador de validación, el sistema abre correctamente una ventana modal que presenta el detalle del informe correspondiente."/>
    <s v="No"/>
    <s v="2026-06-26"/>
    <x v="2"/>
    <s v="OBS"/>
  </r>
  <r>
    <x v="6"/>
    <s v="Información Inventario"/>
    <s v="II_13"/>
    <s v="Medio"/>
    <s v="Se deben agregar N ventanas de validación estas ventanas deben tener los últimos ID Informe, N° Observaciones, Nota Validación (final) y N° Observaciones Invalidantes"/>
    <s v="Pestaña Resumen"/>
    <s v="TODOS LOS USUARIOS"/>
    <s v="II_13.3"/>
    <s v="La ventana de detalle muestra la información definida: ID del informe, número de observaciones, nota final de validación y número de observaciones invalidantes, asegurando consistencia con los datos registrados."/>
    <s v="No"/>
    <s v="2026-06-26"/>
    <x v="0"/>
    <s v="OK"/>
  </r>
  <r>
    <x v="6"/>
    <s v="Información Inventario"/>
    <s v="II_13"/>
    <s v="Medio"/>
    <s v="Se deben agregar N ventanas de validación estas ventanas deben tener los últimos ID Informe, N° Observaciones, Nota Validación (final) y N° Observaciones Invalidantes"/>
    <s v="Pestaña Resumen"/>
    <s v="TODOS LOS USUARIOS"/>
    <s v="II_13.4"/>
    <s v="En caso de existir observaciones invalidantes, el sistema muestra la alerta: &quot;Existen observaciones invalidantes&quot;, indicando la condición del informe."/>
    <s v="No"/>
    <s v="2026-06-30"/>
    <x v="1"/>
    <s v="N/A"/>
  </r>
  <r>
    <x v="6"/>
    <s v="Información Inventario"/>
    <s v="II_14"/>
    <s v="Alto"/>
    <s v="NUEVA CLASIFICACIÓN DE COMPONENTES ERM:"/>
    <s v="Pestaña Resumen - Ventana ERM"/>
    <s v="TODOS LOS USUARIOS"/>
    <s v="II_14.1"/>
    <s v="El sistema muestra las componentes ERM agrupadas bajo la nueva clasificación definida: Incertidumbre Total, Materialidad y Evaluación de Riesgo de Modelo, reflejando correctamente la nueva estructura."/>
    <s v="No"/>
    <s v="2026-06-26"/>
    <x v="0"/>
    <s v="OK"/>
  </r>
  <r>
    <x v="6"/>
    <s v="Información Inventario"/>
    <s v="II_14"/>
    <s v="Alto"/>
    <s v="Adicionalmente se debe quitar el campo de la nota de Incertidumbre"/>
    <s v="Pestaña Resumen - Ventana ERM"/>
    <s v="TODOS LOS USUARIOS"/>
    <s v="II_14.2"/>
    <s v="Se elimina el campo nota de incertidumbre ni referencias asociadas en ninguna vista, reporte o componente de la interfaz."/>
    <s v="No"/>
    <s v="2026-06-26"/>
    <x v="0"/>
    <s v="OK"/>
  </r>
  <r>
    <x v="6"/>
    <s v="Información Inventario"/>
    <s v="II_15"/>
    <s v="Alto"/>
    <s v="ELIMINACIÓN DE CAMPOS DE VALIDACIÓN ESPECÍFICOS:"/>
    <s v="Pestaña Resumen - Ventana ERM"/>
    <s v="GRM_ADMINISTRADOR"/>
    <s v="II_15.1"/>
    <s v="Se eliminan los campos &quot;Nota Validación Desarrollo&quot; y &quot;Nota Validación Implementación&quot; de todas las vistas, formularios y reportes, asegurando que no se visualicen en ninguna interfaz del sistema."/>
    <s v="No"/>
    <s v="2026-06-26"/>
    <x v="0"/>
    <s v="OK"/>
  </r>
  <r>
    <x v="6"/>
    <s v="Información Inventario"/>
    <s v="II_16"/>
    <s v="Bajo"/>
    <s v="CONFIGURACIÓN DE COLORES POR MANTENEDOR:"/>
    <s v="Pestaña Resumen - Ventana ERM"/>
    <s v="GRM_ADMINISTRADOR"/>
    <s v="II_16.1"/>
    <s v="El sistema permite acceder al mantenedor de colores solo a usuarios con rol GRM_ADMINISTRADOR, mostrando la lista de clasificaciones ERM con sus colores configurados."/>
    <s v="No"/>
    <s v="2026-06-30"/>
    <x v="1"/>
    <s v="N/A"/>
  </r>
  <r>
    <x v="6"/>
    <s v="Información Inventario"/>
    <s v="II_16"/>
    <s v="Bajo"/>
    <s v="Deben aparecer los colores para cada clasificación y deben estar por mantenedor"/>
    <s v="Pestaña Resumen - Ventana ERM"/>
    <s v="GRM_ADMINISTRADOR"/>
    <s v="II_16.2"/>
    <s v="El administrador puede crear o modificar colores asociados a una clasificación ERM utilizando el color picker o ingresando el código HEX correspondiente."/>
    <s v="No"/>
    <s v="2026-06-30"/>
    <x v="1"/>
    <s v="N/A"/>
  </r>
  <r>
    <x v="6"/>
    <s v="Información Inventario"/>
    <s v="II_16"/>
    <s v="Bajo"/>
    <s v="Deben aparecer los colores para cada clasificación y deben estar por mantenedor"/>
    <s v="Pestaña Resumen - Ventana ERM"/>
    <s v="GRM_ADMINISTRADOR"/>
    <s v="II_16.3"/>
    <s v="El sistema valida que el código de color ingresado tenga formato HEX válido; en caso contrario, impide el guardado hasta que se corrija el valor."/>
    <s v="No"/>
    <s v="2026-06-30"/>
    <x v="1"/>
    <s v="N/A"/>
  </r>
  <r>
    <x v="6"/>
    <s v="Información Inventario"/>
    <s v="II_16"/>
    <s v="Bajo"/>
    <s v="Deben aparecer los colores para cada clasificación y deben estar por mantenedor"/>
    <s v="Pestaña Resumen - Ventana ERM"/>
    <s v="GRM_ADMINISTRADOR"/>
    <s v="II_16.4"/>
    <s v="El sistema valida que no existan duplicados activos por clasificación ERM y que los colores configurados cumplan condiciones de accesibilidad."/>
    <s v="No"/>
    <s v="2026-06-30"/>
    <x v="1"/>
    <s v="N/A"/>
  </r>
  <r>
    <x v="6"/>
    <s v="Información Inventario"/>
    <s v="II_16"/>
    <s v="Bajo"/>
    <s v="Deben aparecer los colores para cada clasificación y deben estar por mantenedor"/>
    <s v="Pestaña Resumen - Ventana ERM"/>
    <s v="GRM_ADMINISTRADOR"/>
    <s v="II_16.5"/>
    <s v="Al guardar cambios, el sistema solicita confirmación mediante la alerta: &quot;¿Está seguro de cambiar el color?&quot; y, tras confirmar, muestra: &quot;Color actualizado exitosamente&quot;."/>
    <s v="No"/>
    <s v="2026-06-30"/>
    <x v="1"/>
    <s v="N/A"/>
  </r>
  <r>
    <x v="6"/>
    <s v="Información Inventario"/>
    <s v="II_16"/>
    <s v="Bajo"/>
    <s v="Deben aparecer los colores para cada clasificación y deben estar por mantenedor"/>
    <s v="Pestaña Resumen - Ventana ERM"/>
    <s v="GRM_ADMINISTRADOR"/>
    <s v="II_16.6"/>
    <s v="Los cambios realizados en el mantenedor se reflejan automáticamente en todas las vistas del sistema donde se presentan componentes ERM, mostrando una advertencia previa: &quot;El color puede afectar la legibilidad&quot; cuando corresponda."/>
    <s v="No"/>
    <s v="2026-06-30"/>
    <x v="1"/>
    <s v="N/A"/>
  </r>
  <r>
    <x v="6"/>
    <s v="Información Inventario"/>
    <s v="II_17"/>
    <s v="Medio"/>
    <s v="VISUALIZACIÓN DE SOLO NOTAS FINALES DE VALIDACIÓN:"/>
    <s v="Pestaña Resumen - Ventana ERM"/>
    <s v="TODOS LOS USUARIOS"/>
    <s v="II_17.1"/>
    <s v="Al acceder a la ventana ERM en la pestaña Resumen, el sistema muestra únicamente las notas finales de validación asociadas al modelo, sin incluir notas intermedias o parciales."/>
    <s v="No"/>
    <s v="2026-07-14"/>
    <x v="0"/>
    <s v="OK"/>
  </r>
  <r>
    <x v="6"/>
    <s v="Información Inventario"/>
    <s v="II_17"/>
    <s v="Medio"/>
    <s v="En esta sección sólo se deben mostrar las notas finales de validación"/>
    <s v="Pestaña Resumen - Ventana ERM"/>
    <s v="TODOS LOS USUARIOS"/>
    <s v="II_17.4"/>
    <s v="Si el modelo no tiene una nota final calculada, el sistema muestra la alerta: &quot;Modelo sin nota final calculada&quot;, indicando que no existe información disponible."/>
    <s v="No"/>
    <s v="2026-07-14"/>
    <x v="0"/>
    <s v="OK"/>
  </r>
  <r>
    <x v="7"/>
    <s v="Filiales"/>
    <s v="F_1"/>
    <s v="Alto"/>
    <s v="NUEVO MÓDULO DE FILIALES:"/>
    <s v="Filiales"/>
    <s v="GRM_USUARIO_EXTERNO, GRM_REVISOR, GRM_ADMINISTRADOR"/>
    <s v="F_1.1"/>
    <s v="Al acceder al sistema, se visualiza el Módulo de &quot;Filiales&quot; en el menú de opciones de la izquierda de la pantalla"/>
    <s v="No"/>
    <s v="2026-05-25"/>
    <x v="0"/>
    <s v="OK"/>
  </r>
  <r>
    <x v="7"/>
    <s v="Filiales"/>
    <s v="F_1"/>
    <s v="Alto"/>
    <s v="Añadir el nuevo módulo de Filiales"/>
    <s v="Filiales"/>
    <s v="GRM_USUARIO_EXTERNO, GRM_REVISOR, GRM_ADMINISTRADOR"/>
    <s v="F_1.2"/>
    <s v="El Módulo de &quot;Filiales&quot; sólo puede ser visible por los Perfiles:"/>
    <s v="No"/>
    <s v="2026-05-25"/>
    <x v="0"/>
    <s v="OK"/>
  </r>
  <r>
    <x v="7"/>
    <s v="Filiales"/>
    <s v="F_2"/>
    <s v="Medio"/>
    <s v="INVENTARIO PROPIO DE N FILIALES:"/>
    <s v="Filiales"/>
    <s v="GRM_USUARIO_EXTERNO, GRM_REVISOR, GRM_ADMINISTRADOR"/>
    <s v="F_2.1"/>
    <s v="Los usuarios pueden acceder a consultar las Filiales cargadas, compuestas por la siguiente información:"/>
    <s v="No"/>
    <s v="2026-06-22"/>
    <x v="2"/>
    <s v="OBS"/>
  </r>
  <r>
    <x v="7"/>
    <s v="Filiales"/>
    <s v="F_2"/>
    <s v="Medio"/>
    <s v="INVENTARIO PROPIO DE N FILIALES:"/>
    <s v="Filiales"/>
    <s v="GRM_USUARIO_EXTERNO, GRM_REVISOR, GRM_ADMINISTRADOR"/>
    <s v="F_2.2"/>
    <s v="Además del listado de Filiales, el usuario puede acceder al detalle de inventario de la Filial, compuesto por la siguiente información:"/>
    <s v="No"/>
    <s v="2026-06-22"/>
    <x v="0"/>
    <s v="OK"/>
  </r>
  <r>
    <x v="7"/>
    <s v="Filiales"/>
    <s v="F_2"/>
    <s v="Medio"/>
    <s v="INVENTARIO PROPIO DE N FILIALES:"/>
    <s v="Filiales"/>
    <s v="GRM_USUARIO_EXTERNO, GRM_REVISOR, GRM_ADMINISTRADOR"/>
    <s v="F_2.3"/>
    <s v="El usuario puede Filtrar y buscar la información deseada en las Filiales y su detalle de Inventario"/>
    <s v="No"/>
    <s v="2026-06-22"/>
    <x v="0"/>
    <s v="OK"/>
  </r>
  <r>
    <x v="7"/>
    <s v="Filiales"/>
    <s v="F_3"/>
    <s v="Medio"/>
    <s v="CARGA EXCEL DE INVENTARIOS DE FILIALES:"/>
    <s v="Filiales"/>
    <s v="GRM_USUARIO_EXTERNO, GRM_REVISOR, GRM_ADMINISTRADOR"/>
    <s v="F_3.1"/>
    <s v="El usuario puede descargar una planilla en excel con el formato requerido para la carga masiva desde el botón &quot;Descarga Formato&quot;"/>
    <s v="No"/>
    <s v="2026-06-22"/>
    <x v="0"/>
    <s v="OK"/>
  </r>
  <r>
    <x v="7"/>
    <s v="Filiales"/>
    <s v="F_3"/>
    <s v="Medio"/>
    <s v="Se debe poder cargar a través, de un archivo Excel los inventarios de los modelos de las filiales, quedando un registro historico de cada una de las N filiales"/>
    <s v="Filiales"/>
    <s v="GRM_USUARIO_EXTERNO, GRM_REVISOR, GRM_ADMINISTRADOR"/>
    <s v="F_3.2"/>
    <s v="El usuario accede a la opción de Carga de Inventario por medio del botón &quot;Nueva Carga&quot;"/>
    <s v="No"/>
    <s v="2026-05-26"/>
    <x v="0"/>
    <s v="OK"/>
  </r>
  <r>
    <x v="7"/>
    <s v="Filiales"/>
    <s v="F_3"/>
    <s v="Medio"/>
    <s v="Se debe poder cargar a través, de un archivo Excel los inventarios de los modelos de las filiales, quedando un registro historico de cada una de las N filiales"/>
    <s v="Filiales"/>
    <s v="GRM_USUARIO_EXTERNO, GRM_REVISOR, GRM_ADMINISTRADOR"/>
    <s v="F_3.3"/>
    <s v="El sistema valida la estructura y los datos del archivo, y carga las Filiales al sistema, solicitando acciones según el caso:"/>
    <s v="No"/>
    <s v="2026-07-14"/>
    <x v="0"/>
    <s v="OK"/>
  </r>
  <r>
    <x v="7"/>
    <s v="Filiales"/>
    <s v="F_4"/>
    <s v="Medio"/>
    <s v="VISUALIZACIÓN POST-CARGA DE INVENTARIO:"/>
    <s v="Filiales"/>
    <s v="GRM_USUARIO_EXTERNO, GRM_REVISOR, GRM_ADMINISTRADOR"/>
    <s v="F_4.1"/>
    <s v="Una vez realizada la carga de Filiales, el sistema muestra automáticamente la tabla con los datos cargados"/>
    <s v="No"/>
    <s v="2026-05-26"/>
    <x v="0"/>
    <s v="OK"/>
  </r>
  <r>
    <x v="7"/>
    <s v="Filiales"/>
    <s v="F_4"/>
    <s v="Medio"/>
    <s v="Una vez se haya realizado la carga del archivo, se debe visualizar en la plataforma con sus respectivas columnas"/>
    <s v="Filiales"/>
    <s v="GRM_USUARIO_EXTERNO, GRM_REVISOR, GRM_ADMINISTRADOR"/>
    <s v="F_4.2"/>
    <s v="El usuario puede exportar los datos cargados si lo requiere"/>
    <s v="No"/>
    <s v="2026-05-26"/>
    <x v="0"/>
    <s v="OK"/>
  </r>
  <r>
    <x v="7"/>
    <s v="Filiales"/>
    <s v="F_5"/>
    <s v="Medio"/>
    <s v="SELECCIÓN DE INSTITUCIÓN DESDE MANTENEDOR:"/>
    <s v="Filiales"/>
    <s v="GRM_USUARIO_EXTERNO, GRM_REVISOR, GRM_ADMINISTRADOR"/>
    <s v="F_5.1"/>
    <s v="Al acceder a la opción &quot;Nueva Carga&quot;, el usuario puede seleccionar desde la lista desplegable, el listado de Instituciones cargadas"/>
    <s v="No"/>
    <s v="2026-05-26"/>
    <x v="0"/>
    <s v="OK"/>
  </r>
  <r>
    <x v="7"/>
    <s v="Filiales"/>
    <s v="F_5"/>
    <s v="Medio"/>
    <s v="Se debe poder seleccionar la institución, esto debe provenir del mantenedor como lista desplegable"/>
    <s v="Filiales"/>
    <s v="GRM_USUARIO_EXTERNO, GRM_REVISOR, GRM_ADMINISTRADOR"/>
    <s v="F_5.2"/>
    <s v="Al seleccionar la institución, esta queda asociada a la carga de Filiales"/>
    <s v="No"/>
    <s v="2026-05-26"/>
    <x v="0"/>
    <s v="OK"/>
  </r>
  <r>
    <x v="7"/>
    <s v="Filiales"/>
    <s v="F_5"/>
    <s v="Medio"/>
    <s v="Se debe poder seleccionar la institución, esto debe provenir del mantenedor como lista desplegable"/>
    <s v="Filiales"/>
    <s v="GRM_USUARIO_EXTERNO, GRM_REVISOR, GRM_ADMINISTRADOR"/>
    <s v="F_5.3"/>
    <s v="El campo institución es obligatorio"/>
    <s v="No"/>
    <s v="2026-05-26"/>
    <x v="0"/>
    <s v="OK"/>
  </r>
  <r>
    <x v="7"/>
    <s v="Filiales"/>
    <s v="F_6"/>
    <s v="Medio"/>
    <s v="CAMPO INSTITUCIÓN:"/>
    <s v="Filiales"/>
    <s v="GRM_USUARIO_EXTERNO, GRM_REVISOR, GRM_ADMINISTRADOR"/>
    <s v="F_6.1"/>
    <s v="Al acceder a la opción &quot;Nueva Carga&quot;, el usuario puede visualizar 3 opciones para asociar a la carga:"/>
    <s v="No"/>
    <s v="2026-05-26"/>
    <x v="0"/>
    <s v="OK"/>
  </r>
  <r>
    <x v="7"/>
    <s v="Filiales"/>
    <s v="F_7"/>
    <s v="Medio"/>
    <s v="MANTENEDOR DE LISTA DE INSTITUCIÓN:"/>
    <s v="Filiales"/>
    <s v="GRM_ADMINISTRADOR"/>
    <s v="F_7"/>
    <s v="El mantenedor debe permitir Agregar, Modificar y Eliminar lógicamente las instituciones"/>
    <s v="No"/>
    <s v="2026-05-26"/>
    <x v="1"/>
    <s v="N/A"/>
  </r>
  <r>
    <x v="7"/>
    <s v="Filiales"/>
    <s v="F_8"/>
    <s v="Medio"/>
    <s v="MANTENEDOR PARA VALORES DEL CAMPO INSTITUCIÓN:"/>
    <s v="Filiales"/>
    <s v="GRM_ADMINISTRADOR"/>
    <s v="F_8.1"/>
    <s v="El mantenedor debe permitir Agregar, Modificar y Eliminar lógicamente los perfiles asociados a cada institución"/>
    <s v="No"/>
    <s v="2026-05-26"/>
    <x v="1"/>
    <s v="N/A"/>
  </r>
  <r>
    <x v="7"/>
    <s v="Filiales"/>
    <s v="F_8"/>
    <s v="Medio"/>
    <s v="Se debe crear el mantenedor para los valores del campo Institución"/>
    <s v="Filiales"/>
    <s v="GRM_ADMINISTRADOR"/>
    <s v="F_8.2"/>
    <s v="El mantenedor permite asociar perfiles a las distintas Instituciones para que sólo vean las que le corresponden"/>
    <s v="No"/>
    <s v="2026-05-26"/>
    <x v="1"/>
    <s v="N/A"/>
  </r>
  <r>
    <x v="7"/>
    <s v="Filiales"/>
    <s v="F_9"/>
    <s v="Medio"/>
    <s v="SOLICITUD DE APROBACIÓN EN CARGA DE ARCHIVO:"/>
    <s v="Filiales"/>
    <s v="GRM_USUARIO_EXTERNO, GRM_REVISOR, GRM_ADMINISTRADOR"/>
    <s v="F_9.1"/>
    <s v="El Usuario Externo completa la carga del archivo Excel y solicita la aprobación al Revisor por medio del Botón &quot;Confirmar y Enviar a Revisión&quot;"/>
    <s v="No"/>
    <s v="2026-05-26"/>
    <x v="0"/>
    <s v="OK"/>
  </r>
  <r>
    <x v="7"/>
    <s v="Filiales"/>
    <s v="F_9"/>
    <s v="Medio"/>
    <s v="El usuario externo debe poder cargar la información del inventario de la filial, pero debe solicitar aprobación al Revisor previamente en la carga de archivos"/>
    <s v="Filiales"/>
    <s v="GRM_USUARIO_EXTERNO, GRM_REVISOR, GRM_ADMINISTRADOR"/>
    <s v="F_9.2"/>
    <s v="Luego que el Usuario Externo &quot;Confirme y Envíe a Revisión&quot;, la solicitud queda en estado &quot;Ingresada&quot;"/>
    <s v="No"/>
    <s v="2026-05-26"/>
    <x v="0"/>
    <s v="OK"/>
  </r>
  <r>
    <x v="7"/>
    <s v="Filiales"/>
    <s v="F_10"/>
    <s v="Medio"/>
    <s v="DESCARTE DE CAMBIOS POR REVISOR:"/>
    <s v="Filiales"/>
    <s v="GRM_REVISOR, GRM_ADMINISTRADOR"/>
    <s v="F_10.1"/>
    <s v="El Revisor ingresa al módulo para revisar todas las solicitudes en estado &quot;Ingresada&quot;, donde podrá &quot;Rechazar&quot; la solicitud, ingresar el motivo de rechazo y se elimina automáticamente la carga asociada. Además, el estado de la solicitud cambia de &quot;Ingresada&quot; a &quot;Rechazada&quot;"/>
    <s v="No"/>
    <s v="2026-06-22"/>
    <x v="0"/>
    <s v="OK"/>
  </r>
  <r>
    <x v="7"/>
    <s v="Filiales"/>
    <s v="F_10"/>
    <s v="Medio"/>
    <s v="El Revisor debe ser capaz de descartar los cambios realizados por el Usuario Externo"/>
    <s v="Filiales"/>
    <s v="GRM_REVISOR, GRM_ADMINISTRADOR"/>
    <s v="F_10.2"/>
    <s v="Luego que se rechace la solicitud, el sistema genera una notificación al usuario externo por medio de las notificaciones (Campana)"/>
    <s v="No"/>
    <s v="2026-05-26"/>
    <x v="2"/>
    <s v="OBS"/>
  </r>
  <r>
    <x v="7"/>
    <s v="Filiales"/>
    <s v="F_11"/>
    <s v="Medio"/>
    <s v="NOTIFICACIÓN DE APROBACIÓN AL REVISOR:"/>
    <s v="Filiales"/>
    <s v="GRM_REVISOR, GRM_ADMINISTRADOR"/>
    <s v="F_11.1"/>
    <s v="El Revisor ingresa al módulo para revisar todas las solicitudes en estado &quot;Ingresada&quot;, donde podrá &quot;Aprobar&quot; la solicitud para que el estado cambie de &quot;Ingresada&quot; a &quot;Aprobada&quot;"/>
    <s v="No"/>
    <s v="2026-05-26"/>
    <x v="0"/>
    <s v="OK"/>
  </r>
  <r>
    <x v="7"/>
    <s v="Filiales"/>
    <s v="F_11"/>
    <s v="Medio"/>
    <s v="Al solicitar una aprobación, el sistema debe enviar una notificación al Revisor mediante la campanita de notificaciones, incorporando acciones para Aprobar o Rechazar."/>
    <s v="Filiales"/>
    <s v="GRM_REVISOR, GRM_ADMINISTRADOR"/>
    <s v="F_11.2"/>
    <s v="Luego que se apruebe la solicitud, el sistema genera una notificación al usuario externo por medio de las notificaciones (Campana)"/>
    <s v="No"/>
    <s v="2026-05-26"/>
    <x v="2"/>
    <s v="OBS"/>
  </r>
  <r>
    <x v="8"/>
    <s v="Auditoria"/>
    <s v="A_1"/>
    <s v="Bajo"/>
    <s v="TRANSFORMACIÓN DE VENTANA POP-UP A PÁGINA COMPLETA"/>
    <s v="Observaciones Auditores y Regulador"/>
    <s v="TODOS EXCEPTO: GRM_USUARIO_AUDITOR, GRM_USUARIO_EXTERNO."/>
    <s v="A_1.1"/>
    <s v="Al ingresar al módulo, este se puede ver bajo el nombre de &quot;Observaciones Auditores y Regulador&quot;"/>
    <s v="No"/>
    <s v="2026-05-18"/>
    <x v="0"/>
    <s v="OK"/>
  </r>
  <r>
    <x v="8"/>
    <s v="Auditoria"/>
    <s v="A_1"/>
    <s v="Bajo"/>
    <s v="TRANSFORMACIÓN DE VENTANA POP-UP A PÁGINA COMPLETA"/>
    <s v="Observaciones Auditores y Regulador"/>
    <s v="EDITAR:"/>
    <s v="A_1.2"/>
    <s v="El módulo (que antes se mostraba como forma de pop-up) ahora se muesta en una página completa con formato estándar"/>
    <s v="No"/>
    <s v="2026-05-14"/>
    <x v="0"/>
    <s v="OK"/>
  </r>
  <r>
    <x v="8"/>
    <s v="Auditoria"/>
    <s v="A_1"/>
    <s v="Bajo"/>
    <s v="El módulo de observaciones de otras áreas debe dejar de ser una ventana pop-up, pasando a ser del mismo formato de los otros módulos y se debe cambiar el nombre a Observaciones Auditores y Regulador"/>
    <s v="Observaciones Auditores y Regulador"/>
    <s v="GRM_REVISOR, GRM_ADMINISTRADOR"/>
    <s v="A_1.3"/>
    <s v="Al navegar por el módulo, las funcionalidades operan igual que en el formato anterior de pop-up, y los usuarios pueden visualizar la lista y el detalle de las observaciones según su perfil"/>
    <s v="No"/>
    <s v="2026-05-18"/>
    <x v="0"/>
    <s v="OK"/>
  </r>
  <r>
    <x v="8"/>
    <s v="Auditoria"/>
    <s v="A_1"/>
    <s v="Bajo"/>
    <s v="El módulo de observaciones de otras áreas debe dejar de ser una ventana pop-up, pasando a ser del mismo formato de los otros módulos y se debe cambiar el nombre a Observaciones Auditores y Regulador"/>
    <s v="Observaciones Auditores y Regulador"/>
    <s v="GRM_REVISOR, GRM_ADMINISTRADOR"/>
    <s v="A_1.4"/>
    <s v="Pruebas de Continuidad:"/>
    <s v="No"/>
    <s v="2026-05-18"/>
    <x v="0"/>
    <s v="OK"/>
  </r>
  <r>
    <x v="8"/>
    <s v="Auditoria"/>
    <s v="A_2"/>
    <s v="Bajo"/>
    <s v="VISUALIZACIÓN DE ID MODELO CON VERSIÓN Y NOMBRE"/>
    <s v="Observaciones Auditores y Regulador"/>
    <s v="Visualizar TODOS, EXCEPTO: GRM_USUARIO_AUDITOR, GRM_USUARIO_EXTERNO."/>
    <s v="A_2.1"/>
    <s v="Al ingresar al módulo Observaciones Auditores y Regulador, se muestra una tabla con la columna al inicio: &quot;ID modelo - versión - nombre&quot; para poder tener contexto inmediato."/>
    <s v="No"/>
    <s v="2026-05-18"/>
    <x v="0"/>
    <s v="OK"/>
  </r>
  <r>
    <x v="8"/>
    <s v="Auditoria"/>
    <s v="A_2"/>
    <s v="Bajo"/>
    <s v="VISUALIZACIÓN DE ID MODELO CON VERSIÓN Y NOMBRE"/>
    <s v="Observaciones Auditores y Regulador"/>
    <s v="EDITAR:"/>
    <s v="A_2.2"/>
    <s v="Esta columna permite ser ordenable y filtrable."/>
    <s v="No"/>
    <s v="2026-05-18"/>
    <x v="0"/>
    <s v="OK"/>
  </r>
  <r>
    <x v="8"/>
    <s v="Auditoria"/>
    <s v="A_2"/>
    <s v="Bajo"/>
    <s v="VISUALIZACIÓN DE ID MODELO CON VERSIÓN Y NOMBRE"/>
    <s v="Observaciones Auditores y Regulador"/>
    <s v="EDITAR:"/>
    <s v="A_2.3"/>
    <s v="El nombre del modelo se muestra truncado si es muy largo, para facilitar la lectura."/>
    <s v="No"/>
    <s v="2026-05-14"/>
    <x v="1"/>
    <s v="N/A"/>
  </r>
  <r>
    <x v="8"/>
    <s v="Auditoria"/>
    <s v="A_2"/>
    <s v="Bajo"/>
    <s v="VISUALIZACIÓN DE ID MODELO CON VERSIÓN Y NOMBRE"/>
    <s v="Observaciones Auditores y Regulador"/>
    <s v="EDITAR:"/>
    <s v="A_2.4"/>
    <s v="La versión del modelo de muestra con el formato correcto."/>
    <s v="No"/>
    <s v="2026-05-18"/>
    <x v="0"/>
    <s v="OK"/>
  </r>
  <r>
    <x v="8"/>
    <s v="Auditoria"/>
    <s v="A_2"/>
    <s v="Bajo"/>
    <s v="VISUALIZACIÓN DE ID MODELO CON VERSIÓN Y NOMBRE"/>
    <s v="Observaciones Auditores y Regulador"/>
    <s v="EDITAR:"/>
    <s v="A_2.5"/>
    <s v="De existir error en la consulta, se muestra un mensaje de error."/>
    <s v="No"/>
    <s v="2026-05-14"/>
    <x v="0"/>
    <s v="OK"/>
  </r>
  <r>
    <x v="9"/>
    <s v="Mejoras Transversales"/>
    <s v="MT_1"/>
    <s v="ALTA"/>
    <s v="EDICIÓN DE IMAGEN/TEXTO DEL BANNER:"/>
    <s v="Inicio"/>
    <s v="GRM_ADMINISTRADOR"/>
    <s v="MT_1-2.1"/>
    <s v="El usuario con rol Administrador puede acceder al mantenedor de banner, visualizar el contenido actual (título, subtítulo, imagen) y realizar modificaciones sobre dichos campos."/>
    <s v="No"/>
    <s v="2026-07-17"/>
    <x v="0"/>
    <s v="OK"/>
  </r>
  <r>
    <x v="9"/>
    <s v="Mejoras Transversales"/>
    <s v="MT_2"/>
    <s v="ALTA"/>
    <s v="El administrador debe poder ser capaz de editar la imagen/texto de la división que se encuentra en el banner de la plataforma, desde los mantenedores"/>
    <s v="Inicio"/>
    <s v="GRM_ADMINISTRADOR"/>
    <s v="MT_1-2.2"/>
    <s v="El sistema permite cargar o actualizar la imagen del banner validando formatos permitidos (PNG, JPG, GIF) y el tamaño máximo configurado."/>
    <s v="No"/>
    <s v="2026-07-17"/>
    <x v="0"/>
    <s v="OK"/>
  </r>
  <r>
    <x v="9"/>
    <s v="Mejoras Transversales"/>
    <s v="MT_2"/>
    <s v="ALTA"/>
    <s v="El administrador debe poder ser capaz de editar la imagen/texto de la división que se encuentra en el banner de la plataforma, desde los mantenedores"/>
    <s v="Inicio"/>
    <s v="GRM_ADMINISTRADOR"/>
    <s v="MT_1-2.3"/>
    <s v="El sistema valida los campos obligatorios (como título), impidiendo guardar la configuración si no se cumple con las restricciones definidas."/>
    <s v="No"/>
    <s v="2026-07-17"/>
    <x v="0"/>
    <s v="OK"/>
  </r>
  <r>
    <x v="9"/>
    <s v="Mejoras Transversales"/>
    <s v="MT_2"/>
    <s v="ALTA"/>
    <s v="El administrador debe poder ser capaz de editar la imagen/texto de la división que se encuentra en el banner de la plataforma, desde los mantenedores"/>
    <s v="Inicio"/>
    <s v="GRM_ADMINISTRADOR"/>
    <s v="MT_1-2.4"/>
    <s v="Al guardar cambios válidos, el sistema actualiza la información en la tabla correspondiente y refleja el nuevo banner inmediatamente en la página de inicio para todos los usuarios."/>
    <s v="No"/>
    <s v="2026-07-17"/>
    <x v="0"/>
    <s v="OK"/>
  </r>
  <r>
    <x v="9"/>
    <s v="Mejoras Transversales"/>
    <s v="MT_2"/>
    <s v="ALTA"/>
    <s v="El administrador debe poder ser capaz de editar la imagen/texto de la división que se encuentra en el banner de la plataforma, desde los mantenedores"/>
    <s v="Inicio"/>
    <s v="GRM_ADMINISTRADOR"/>
    <s v="MT_1-2.5"/>
    <s v="El sistema presenta una vista previa del banner antes de guardar, permitiendo validar visualmente la configuración ingresada."/>
    <s v="No"/>
    <s v="2026-07-17"/>
    <x v="1"/>
    <s v="N/A"/>
  </r>
  <r>
    <x v="9"/>
    <s v="Mejoras Transversales"/>
    <s v="MT_2"/>
    <s v="ALTA"/>
    <s v="El administrador debe poder ser capaz de editar la imagen/texto de la división que se encuentra en el banner de la plataforma, desde los mantenedores"/>
    <s v="Inicio"/>
    <s v="GRM_ADMINISTRADOR"/>
    <s v="MT_1-2.6"/>
    <s v="En caso de subir una imagen inválida o realizar cambios sin modificaciones, el sistema gestiona el flujo alternativo correspondiente (rechazo por formato o no ejecución de cambios)."/>
    <s v="No"/>
    <s v="2026-07-17"/>
    <x v="0"/>
    <s v="OK"/>
  </r>
  <r>
    <x v="9"/>
    <s v="Mejoras Transversales"/>
    <s v="MT_3"/>
    <s v="ALTA"/>
    <s v="REESTRUCTURACIÓN DEL MENÚ DE NAVEGACIÓN:"/>
    <s v="Inicio"/>
    <s v="GRM_ADMINISTRADOR"/>
    <s v="MT_3.1"/>
    <s v="El sistema muestra el menú de navegación lateral y superior con la nueva estructura definida, incluyendo actualización de nombres y orden de todos los módulos."/>
    <s v="No"/>
    <s v="2026-07-29"/>
    <x v="0"/>
    <s v="OK"/>
  </r>
  <r>
    <x v="9"/>
    <s v="Mejoras Transversales"/>
    <s v="MT_3"/>
    <s v="ALTA"/>
    <s v="REESTRUCTURACIÓN DEL MENÚ DE NAVEGACIÓN:"/>
    <s v="Inicio"/>
    <s v="GRM_ADMINISTRADOR"/>
    <s v="MT_3.2"/>
    <s v="Cada opción del menú redirige correctamente a la funcionalidad correspondiente, asegurando que todas las páginas siguen siendo accesibles tras la reestructuración."/>
    <s v="No"/>
    <s v="2026-07-29"/>
    <x v="0"/>
    <s v="OK"/>
  </r>
  <r>
    <x v="9"/>
    <s v="Mejoras Transversales"/>
    <s v="MT_3"/>
    <s v="ALTA"/>
    <s v="REESTRUCTURACIÓN DEL MENÚ DE NAVEGACIÓN:"/>
    <s v="Inicio"/>
    <s v="GRM_ADMINISTRADOR"/>
    <s v="MT_3.3"/>
    <s v="Los breadcrumbs (Rutas de navegación) se actualizan correctamente, reflejando la nueva jerarquía y estructura de navegación en todas las páginas del sistema."/>
    <s v="No"/>
    <s v="2026-07-29"/>
    <x v="0"/>
    <s v="OK"/>
  </r>
  <r>
    <x v="9"/>
    <s v="Mejoras Transversales"/>
    <s v="MT_3"/>
    <s v="ALTA"/>
    <s v="REESTRUCTURACIÓN DEL MENÚ DE NAVEGACIÓN:"/>
    <s v="Inicio"/>
    <s v="GRM_ADMINISTRADOR"/>
    <s v="MT_3.4"/>
    <s v="El sistema valida que los permisos de acceso por rol se mantengan correctamente tras la restructuración, mostrando solo las opciones de menú autorizadas para cada usuario."/>
    <s v="No"/>
    <s v="2026-07-29"/>
    <x v="0"/>
    <s v="OK"/>
  </r>
  <r>
    <x v="9"/>
    <s v="Mejoras Transversales"/>
    <s v="MT_4"/>
    <s v="ALTA"/>
    <s v="RESTRICCIÓN DE ACCESO POR PERFIL:"/>
    <s v="Inicio"/>
    <s v="Sistema (Automático)"/>
    <s v="MT_4.1"/>
    <s v="El sistema valida el perfil del usuario al intentar acceder a un módulo y permite el ingreso únicamente si existe autorización según la configuración de perfiles y módulos."/>
    <s v="No"/>
    <m/>
    <x v="1"/>
    <s v="N/A"/>
  </r>
  <r>
    <x v="9"/>
    <s v="Mejoras Transversales"/>
    <s v="MT_4"/>
    <s v="ALTA"/>
    <s v="RESTRICCIÓN DE ACCESO POR PERFIL:"/>
    <s v="Inicio"/>
    <s v="Sistema (Automático)"/>
    <s v="MT_4.2"/>
    <s v="Si el usuario intenta acceder a un módulo no autorizado, el sistema bloquea el acceso y muestra el mensaje: &quot;Acceso denegado al módulo&quot;, evitando la visualización del contenido."/>
    <s v="No"/>
    <m/>
    <x v="1"/>
    <s v="N/A"/>
  </r>
  <r>
    <x v="9"/>
    <s v="Mejoras Transversales"/>
    <s v="MT_4"/>
    <s v="ALTA"/>
    <s v="RESTRICCIÓN DE ACCESO POR PERFIL:"/>
    <s v="Inicio"/>
    <s v="Sistema (Automático)"/>
    <s v="MT_4.3"/>
    <s v="El sistema evalúa correctamente la asignación de perfiles del usuario y aplica los permisos según la relación definida en las tablas de perfiles-modulos."/>
    <s v="No"/>
    <m/>
    <x v="1"/>
    <s v="N/A"/>
  </r>
  <r>
    <x v="9"/>
    <s v="Mejoras Transversales"/>
    <s v="MT_4"/>
    <s v="ALTA"/>
    <s v="RESTRICCIÓN DE ACCESO POR PERFIL:"/>
    <s v="Inicio"/>
    <s v="Sistema (Automático)"/>
    <s v="MT_4.4"/>
    <s v="El sistema registra los intentos de acceso denegado, permitiendo trazabilidad de accesos no autorizados."/>
    <s v="No"/>
    <m/>
    <x v="1"/>
    <s v="N/A"/>
  </r>
  <r>
    <x v="9"/>
    <s v="Mejoras Transversales"/>
    <s v="MT_4"/>
    <s v="ALTA"/>
    <s v="RESTRICCIÓN DE ACCESO POR PERFIL:"/>
    <s v="Inicio"/>
    <s v="Sistema (Automático)"/>
    <s v="MT_4.5"/>
    <s v="El sistema muestra únicamente los módulos autorizados en la navegación, ocultando o deshabilitando las opciones no disponibles para el perfil del usuario."/>
    <s v="No"/>
    <m/>
    <x v="1"/>
    <s v="N/A"/>
  </r>
  <r>
    <x v="9"/>
    <s v="Mejoras Transversales"/>
    <s v="MT_4"/>
    <s v="ALTA"/>
    <s v="RESTRICCIÓN DE ACCESO POR PERFIL:"/>
    <s v="Inicio"/>
    <s v="Sistema (Automático)"/>
    <s v="MT_4.6"/>
    <s v="El sistema garantiza consistencia en la aplicación de permisos en todas las páginas y componentes (menú, accesos directos, URLs), evitando accesos por vías alternativas."/>
    <s v="No"/>
    <m/>
    <x v="1"/>
    <s v="N/A"/>
  </r>
  <r>
    <x v="9"/>
    <s v="Mejoras Transversales"/>
    <s v="MT_5"/>
    <s v="BAJA"/>
    <s v="CHATBOT CON IA PARA CONSULTAS:"/>
    <s v="Inicio"/>
    <s v="Todos los usuarios"/>
    <s v="MT_5.1"/>
    <s v="DESESTIMADA"/>
    <s v="No"/>
    <m/>
    <x v="1"/>
    <s v="N/A"/>
  </r>
  <r>
    <x v="9"/>
    <s v="Mejoras Transversales"/>
    <s v="MT_6"/>
    <s v="BAJA"/>
    <s v="MANTENEDOR DE TIPO DE CONSULTAS DE DATOS:"/>
    <s v="Inicio"/>
    <s v="GRM_ADMINISTRADOR"/>
    <s v="MT_6.1"/>
    <s v="DESESTIMADA"/>
    <s v="No"/>
    <m/>
    <x v="1"/>
    <s v="N/A"/>
  </r>
  <r>
    <x v="9"/>
    <s v="Mejoras Transversales"/>
    <s v="MT_7"/>
    <s v="BAJA"/>
    <s v="MANTENEDOR DE TIPO DE CONSULTAS DE MANUALES:"/>
    <s v="Inicio"/>
    <s v="GRM_ADMINISTRADOR"/>
    <s v="MT_7.1"/>
    <s v="DESESTIMADA"/>
    <s v="No"/>
    <m/>
    <x v="1"/>
    <s v="N/A"/>
  </r>
  <r>
    <x v="9"/>
    <s v="Mejoras Transversales"/>
    <s v="MT_8"/>
    <s v="BAJA"/>
    <s v="ELIMINAR SECCIÓN DE NOTICIAS:"/>
    <s v="Inicio"/>
    <s v="GRM_ADMINISTRADOR"/>
    <s v="MT_8.1"/>
    <s v="Al acceder a la página de inicio, el sistema no muestra la sección lateral de Noticias, eliminando completamente la región correspondiente en la interfaz."/>
    <s v="No"/>
    <s v="2026-07-29"/>
    <x v="0"/>
    <s v="OK"/>
  </r>
  <r>
    <x v="9"/>
    <s v="Mejoras Transversales"/>
    <s v="MT_8"/>
    <s v="BAJA"/>
    <s v="ELIMINAR SECCIÓN DE NOTICIAS:"/>
    <s v="Inicio"/>
    <s v="GRM_ADMINISTRADOR"/>
    <s v="MT_8.2"/>
    <s v="La eliminación de la sección de noticias se aplica para todos los perfiles de usuario, sin excepciones ni variaciones en la visualización."/>
    <s v="No"/>
    <s v="2026-07-29"/>
    <x v="0"/>
    <s v="OK"/>
  </r>
  <r>
    <x v="9"/>
    <s v="Mejoras Transversales"/>
    <s v="MT_8"/>
    <s v="BAJA"/>
    <s v="ELIMINAR SECCIÓN DE NOTICIAS:"/>
    <s v="Inicio"/>
    <s v="GRM_ADMINISTRADOR"/>
    <s v="MT_8.3"/>
    <s v="El sistema mantiene la coherencia del layout de la página tras la eliminación, ajustando correctamente las columnas, espacios y distribución de los componentes restantes."/>
    <s v="No"/>
    <s v="2026-07-29"/>
    <x v="0"/>
    <s v="OK"/>
  </r>
  <r>
    <x v="9"/>
    <s v="Mejoras Transversales"/>
    <s v="MT_9"/>
    <s v="BAJA"/>
    <s v="GRÁFICOS DE INFORMACIÓN DEL INVENTARIO:"/>
    <s v="Inicio"/>
    <s v="Todos los usuarios"/>
    <s v="MT_9.1"/>
    <s v="Al acceder a la página de inicio, el sistema muestra el dashboard con gráficos y tablas que representan la información actualizada del inventario, incluyendo modelos por etapa, por familia y modelos en uso."/>
    <s v="No"/>
    <s v="2026-07-29"/>
    <x v="0"/>
    <s v="OK"/>
  </r>
  <r>
    <x v="9"/>
    <s v="Mejoras Transversales"/>
    <s v="MT_9"/>
    <s v="BAJA"/>
    <s v="GRÁFICOS DE INFORMACIÓN DEL INVENTARIO:"/>
    <s v="Inicio"/>
    <s v="Todos los usuarios"/>
    <s v="MT_9.2"/>
    <s v="Los gráficos (barras, dona u otros) muestran correctamente los valores asociados a cada categoría (etapas, familias, funciones de riesgo), reflejando la información obtenida desde las consultas SQL del sistema."/>
    <s v="No"/>
    <s v="2026-07-29"/>
    <x v="0"/>
    <s v="OK"/>
  </r>
  <r>
    <x v="9"/>
    <s v="Mejoras Transversales"/>
    <s v="MT_9"/>
    <s v="BAJA"/>
    <s v="GRÁFICOS DE INFORMACIÓN DEL INVENTARIO:"/>
    <s v="Inicio"/>
    <s v="Todos los usuarios"/>
    <s v="MT_9.3"/>
    <s v="El sistema actualiza los datos de los gráficos automáticamente al cargar la página o mediante refresco, asegurando que la información corresponde al estado actual del inventario."/>
    <s v="No"/>
    <s v="2026-07-29"/>
    <x v="0"/>
    <s v="OK"/>
  </r>
  <r>
    <x v="9"/>
    <s v="Mejoras Transversales"/>
    <s v="MT_9"/>
    <s v="BAJA"/>
    <s v="GRÁFICOS DE INFORMACIÓN DEL INVENTARIO:"/>
    <s v="Inicio"/>
    <s v="Todos los usuarios"/>
    <s v="MT_9.4"/>
    <s v="El sistema mantiene tiempos de carga adecuados para la visualización de los gráficos, permitiendo la correcta interacción sin demoras significativas."/>
    <s v="No"/>
    <s v="2026-07-29"/>
    <x v="0"/>
    <s v="OK"/>
  </r>
  <r>
    <x v="9"/>
    <s v="Mejoras Transversales"/>
    <s v="MT_9"/>
    <s v="BAJA"/>
    <s v="GRÁFICOS DE INFORMACIÓN DEL INVENTARIO:"/>
    <s v="Inicio"/>
    <s v="Todos los usuarios"/>
    <s v="MT_9.5"/>
    <s v="En caso de no existir datos disponibles, el sistema muestra el mensaje &quot;No hay información disponible&quot;, evitando la visualización de gráficos vacíos o inconsistentes."/>
    <s v="No"/>
    <s v="2026-07-29"/>
    <x v="0"/>
    <s v="OK"/>
  </r>
  <r>
    <x v="9"/>
    <s v="Mejoras Transversales"/>
    <s v="MT_10"/>
    <s v="BAJA"/>
    <s v="MOSTRAR FAMILIA EN BUSCADOR DE MODELOS:"/>
    <s v="Información del Inventario"/>
    <s v="Todos los usuarios"/>
    <s v="MT_10.1"/>
    <s v="Al realizar una búsqueda de modelos, el sistema muestra la columna Familia en los resultados, junto con el resto de atributos del modelo."/>
    <s v="No"/>
    <s v="2026-07-10"/>
    <x v="0"/>
    <s v="OK"/>
  </r>
  <r>
    <x v="9"/>
    <s v="Mejoras Transversales"/>
    <s v="MT_10"/>
    <s v="BAJA"/>
    <s v="MOSTRAR FAMILIA EN BUSCADOR DE MODELOS:"/>
    <s v="Información del Inventario"/>
    <s v="Todos los usuarios"/>
    <s v="MT_10.2"/>
    <s v="La columna Familia se visualiza consistentemente en todas las funcionalidades donde se consultan modelos (visualización, incorporación de información y selección de modelos)."/>
    <s v="No"/>
    <s v="2026-07-10"/>
    <x v="0"/>
    <s v="OK"/>
  </r>
  <r>
    <x v="9"/>
    <s v="Mejoras Transversales"/>
    <s v="MT_10"/>
    <s v="BAJA"/>
    <s v="MOSTRAR FAMILIA EN BUSCADOR DE MODELOS:"/>
    <s v="Información del Inventario"/>
    <s v="Todos los usuarios"/>
    <s v="MT_10.3"/>
    <s v="Las descargas de tablas incluyen correctamente la columna Familia, reflejando la misma información mostrada en pantalla."/>
    <s v="No"/>
    <s v="2026-07-10"/>
    <x v="0"/>
    <s v="OK"/>
  </r>
  <r>
    <x v="9"/>
    <s v="Mejoras Transversales"/>
    <s v="MT_10"/>
    <s v="BAJA"/>
    <s v="MOSTRAR FAMILIA EN BUSCADOR DE MODELOS:"/>
    <s v="Información del Inventario"/>
    <s v="Todos los usuarios"/>
    <s v="MT_10.4"/>
    <s v="El sistema permite utilizar la columna Familia como criterio de filtrado cuando la funcionalidad lo soporte, mostrando resultados acordes al filtro aplicado."/>
    <s v="No"/>
    <s v="2026-07-10"/>
    <x v="0"/>
    <s v="OK"/>
  </r>
  <r>
    <x v="9"/>
    <s v="Mejoras Transversales"/>
    <s v="MT_10"/>
    <s v="BAJA"/>
    <s v="MOSTRAR FAMILIA EN BUSCADOR DE MODELOS:"/>
    <s v="Información del Inventario"/>
    <s v="Todos los usuarios"/>
    <s v="MT_10.5"/>
    <s v="El sistema muestra el valor &quot;Sin asignar&quot; para aquellos modelos que no tengan familia asociada, evitando valores nulos en la visualización."/>
    <s v="No"/>
    <s v="2026-07-10"/>
    <x v="0"/>
    <s v="OK"/>
  </r>
  <r>
    <x v="9"/>
    <s v="Mejoras Transversales"/>
    <s v="MT_11"/>
    <s v="BAJA"/>
    <s v="MANTENEDOR DE COLUMNAS ADICIONALES:"/>
    <s v="Información del Inventario"/>
    <s v="GRM_ADMINISTRADOR"/>
    <s v="MT_11.1"/>
    <s v="El administrador puede acceder al mantenedor de configuración de columnas y visualizar la estructura actual de columnas configuradas para los buscadores."/>
    <s v="No"/>
    <m/>
    <x v="3"/>
    <s v="POST"/>
  </r>
  <r>
    <x v="9"/>
    <s v="Mejoras Transversales"/>
    <s v="MT_11"/>
    <s v="BAJA"/>
    <s v="MANTENEDOR DE COLUMNAS ADICIONALES:"/>
    <s v="Información del Inventario"/>
    <s v="GRM_ADMINISTRADOR"/>
    <s v="MT_11.2"/>
    <s v="El administrador puede definir qué columnas se muestran en el buscador, configurando visibilidad, orden y atributos asociados de cada columna."/>
    <s v="No"/>
    <m/>
    <x v="3"/>
    <s v="POST"/>
  </r>
  <r>
    <x v="9"/>
    <s v="Mejoras Transversales"/>
    <s v="MT_11"/>
    <s v="BAJA"/>
    <s v="MANTENEDOR DE COLUMNAS ADICIONALES:"/>
    <s v="Información del Inventario"/>
    <s v="GRM_ADMINISTRADOR"/>
    <s v="MT_11.3"/>
    <s v="El sistema aplica correctamente la configuración definida, mostrando las columnas configuradas en los buscadores de modelos en todas las vistas correspondientes."/>
    <s v="No"/>
    <m/>
    <x v="3"/>
    <s v="POST"/>
  </r>
  <r>
    <x v="9"/>
    <s v="Mejoras Transversales"/>
    <s v="MT_11"/>
    <s v="BAJA"/>
    <s v="MANTENEDOR DE COLUMNAS ADICIONALES:"/>
    <s v="Información del Inventario"/>
    <s v="GRM_ADMINISTRADOR"/>
    <s v="MT_11.4"/>
    <s v="El sistema valida que al menos una columna esté visible y que el orden definido no contenga duplicaciones, impidiendo configuraciones inválidas."/>
    <s v="No"/>
    <m/>
    <x v="3"/>
    <s v="POST"/>
  </r>
  <r>
    <x v="9"/>
    <s v="Mejoras Transversales"/>
    <s v="MT_11"/>
    <s v="BAJA"/>
    <s v="MANTENEDOR DE COLUMNAS ADICIONALES:"/>
    <s v="Información del Inventario"/>
    <s v="GRM_ADMINISTRADOR"/>
    <s v="MT_11.5"/>
    <s v="El sistema refleja automáticamente los cambios realizados en la configuración al recargar los buscadores, mostrando la nueva estructura de columnas."/>
    <s v="No"/>
    <m/>
    <x v="3"/>
    <s v="POST"/>
  </r>
  <r>
    <x v="9"/>
    <s v="Mejoras Transversales"/>
    <s v="MT_12"/>
    <s v="BAJA"/>
    <s v="SELECCIÓN DE NOTIFICACIONES POR CORREO:"/>
    <s v="General"/>
    <s v="Todos los usuarios"/>
    <s v="MT_12.1"/>
    <s v="El usuario puede acceder a la configuración de notificaciones y seleccionar cuáles desea recibir por correo electrónico, activando o desactivando la opción correspondiente."/>
    <s v="No"/>
    <m/>
    <x v="1"/>
    <s v="N/A"/>
  </r>
  <r>
    <x v="9"/>
    <s v="Mejoras Transversales"/>
    <s v="MT_12"/>
    <s v="BAJA"/>
    <s v="SELECCIÓN DE NOTIFICACIONES POR CORREO:"/>
    <s v="General"/>
    <s v="Todos los usuarios"/>
    <s v="MT_12.2"/>
    <s v="El sistema guarda correctamente las preferencias de notificación por usuario y tipo, aplicando la configuración definida en envíos posteriores."/>
    <s v="No"/>
    <m/>
    <x v="1"/>
    <s v="N/A"/>
  </r>
  <r>
    <x v="9"/>
    <s v="Mejoras Transversales"/>
    <s v="MT_12"/>
    <s v="BAJA"/>
    <s v="SELECCIÓN DE NOTIFICACIONES POR CORREO:"/>
    <s v="General"/>
    <s v="Todos los usuarios"/>
    <s v="MT_12.3"/>
    <s v="Cuando ocurre una notificación configurada para envío por correo, el sistema envía el correo electrónico al usuario y muestra la alerta: &quot;Notificación enviada a Email&quot;."/>
    <s v="No"/>
    <m/>
    <x v="1"/>
    <s v="N/A"/>
  </r>
  <r>
    <x v="9"/>
    <s v="Mejoras Transversales"/>
    <s v="MT_12"/>
    <s v="BAJA"/>
    <s v="SELECCIÓN DE NOTIFICACIONES POR CORREO:"/>
    <s v="General"/>
    <s v="Todos los usuarios"/>
    <s v="MT_12.4"/>
    <s v="El sistema respeta las preferencias configuradas, evitando el envío de correos para tipos de notificación no seleccionados por el usuario."/>
    <s v="No"/>
    <m/>
    <x v="1"/>
    <s v="N/A"/>
  </r>
  <r>
    <x v="9"/>
    <s v="Mejoras Transversales"/>
    <s v="MT_12"/>
    <s v="BAJA"/>
    <s v="SELECCIÓN DE NOTIFICACIONES POR CORREO:"/>
    <s v="General"/>
    <s v="Todos los usuarios"/>
    <s v="MT_12.5"/>
    <s v="El sistema valida que el usuario tenga un correo electrónico válido en su perfil antes de enviar notificaciones, evitando errores en el proceso de envío."/>
    <s v="No"/>
    <m/>
    <x v="1"/>
    <s v="N/A"/>
  </r>
  <r>
    <x v="9"/>
    <s v="Mejoras Transversales"/>
    <s v="MT_13"/>
    <s v="BAJA"/>
    <s v="CORREO DE VENCIMIENTOS DE VALIDACIÓN:"/>
    <s v="Validación"/>
    <s v="GRM_REVISOR, GRM_ADMINISTRADOR"/>
    <s v="MT_13.1"/>
    <s v="El sistema ejecuta automáticamente el proceso de envío de correos el primer día hábil del mes, conforme a la programación definida."/>
    <s v="No"/>
    <s v="2026-07-10"/>
    <x v="0"/>
    <s v="OK"/>
  </r>
  <r>
    <x v="9"/>
    <s v="Mejoras Transversales"/>
    <s v="MT_13"/>
    <s v="BAJA"/>
    <s v="CORREO DE VENCIMIENTOS DE VALIDACIÓN:"/>
    <s v="Validación"/>
    <s v="GRM_REVISOR, GRM_ADMINISTRADOR"/>
    <s v="MT_13.2"/>
    <s v="El sistema identifica correctamente las observaciones de validación vigentes (no cerradas, no resueltas, no solucionadas) con fecha de vencimiento dentro del mes en curso."/>
    <s v="No"/>
    <s v="2026-07-10"/>
    <x v="0"/>
    <s v="OK"/>
  </r>
  <r>
    <x v="9"/>
    <s v="Mejoras Transversales"/>
    <s v="MT_13"/>
    <s v="BAJA"/>
    <s v="CORREO DE VENCIMIENTOS DE VALIDACIÓN:"/>
    <s v="Validación"/>
    <s v="GRM_REVISOR, GRM_ADMINISTRADOR"/>
    <s v="MT_13.3"/>
    <s v="El sistema genera el contenido del correo incluyendo la información de observaciones por vencer, respetando el formato definido en la solución técnica."/>
    <s v="No"/>
    <s v="2026-07-10"/>
    <x v="0"/>
    <s v="OK"/>
  </r>
  <r>
    <x v="9"/>
    <s v="Mejoras Transversales"/>
    <s v="MT_13"/>
    <s v="BAJA"/>
    <s v="CORREO DE VENCIMIENTOS DE VALIDACIÓN:"/>
    <s v="Validación"/>
    <s v="GRM_REVISOR, GRM_ADMINISTRADOR"/>
    <s v="MT_13.4"/>
    <s v="El sistema envía el correo a los usuarios con rol GRM_REVISOR, asegurando que los destinatarios corresponden a la configuración de roles definida."/>
    <s v="No"/>
    <s v="2026-07-10"/>
    <x v="0"/>
    <s v="OK"/>
  </r>
  <r>
    <x v="9"/>
    <s v="Mejoras Transversales"/>
    <s v="MT_13"/>
    <s v="BAJA"/>
    <s v="CORREO DE VENCIMIENTOS DE VALIDACIÓN:"/>
    <s v="Validación"/>
    <s v="GRM_REVISOR, GRM_ADMINISTRADOR"/>
    <s v="MT_13.5"/>
    <s v="El sistema registra correctamente cada envío en la tabla de log (MRM_LOG_ENVIO_CORREOS), permitiendo la trazabilidad del proceso ejecutado."/>
    <s v="No"/>
    <s v="2026-07-10"/>
    <x v="0"/>
    <s v="OK"/>
  </r>
  <r>
    <x v="9"/>
    <s v="Mejoras Transversales"/>
    <s v="MT_13"/>
    <s v="BAJA"/>
    <s v="CORREO DE VENCIMIENTOS DE VALIDACIÓN:"/>
    <s v="Validación"/>
    <s v="GRM_REVISOR, GRM_ADMINISTRADOR"/>
    <s v="MT_13.6"/>
    <s v="En caso de no existir observaciones por vencer, el sistema no envía correo y registra la ejecución del proceso sin resultados."/>
    <s v="No"/>
    <s v="2026-07-10"/>
    <x v="0"/>
    <s v="OK"/>
  </r>
  <r>
    <x v="9"/>
    <s v="Mejoras Transversales"/>
    <s v="MT_14"/>
    <s v="BAJA"/>
    <s v="CORREO DE VENCIMIENTOS DE SEGUIMIENTO:"/>
    <s v="Seguimiento y Control"/>
    <s v="GRM_REVISOR, GRM_ADMINISTRADOR"/>
    <s v="MT_14.1"/>
    <s v="El sistema ejecuta automáticamente el job de envío de correos el primer día hábil del mes, conforme a la programación definida para el proceso de seguimiento."/>
    <s v="No"/>
    <s v="2026-07-10"/>
    <x v="0"/>
    <s v="OK"/>
  </r>
  <r>
    <x v="9"/>
    <s v="Mejoras Transversales"/>
    <s v="MT_14"/>
    <s v="BAJA"/>
    <s v="CORREO DE VENCIMIENTOS DE SEGUIMIENTO:"/>
    <s v="Seguimiento y Control"/>
    <s v="GRM_REVISOR, GRM_ADMINISTRADOR"/>
    <s v="MT_14.2"/>
    <s v="El sistema identifica correctamente las observaciones de seguimiento vigentes con fecha de próximo seguimiento, dentro del mes en curso."/>
    <s v="No"/>
    <s v="2026-07-10"/>
    <x v="4"/>
    <s v="NOOK"/>
  </r>
  <r>
    <x v="9"/>
    <s v="Mejoras Transversales"/>
    <s v="MT_14"/>
    <s v="BAJA"/>
    <s v="CORREO DE VENCIMIENTOS DE SEGUIMIENTO:"/>
    <s v="Seguimiento y Control"/>
    <s v="GRM_REVISOR, GRM_ADMINISTRADOR"/>
    <s v="MT_14.3"/>
    <s v="El sistema genera el contenido del correo incluyendo las observaciones de seguimiento por vencer, respetando el formato definido en la solución técnica."/>
    <s v="No"/>
    <s v="2026-07-10"/>
    <x v="4"/>
    <s v="NOOK"/>
  </r>
  <r>
    <x v="9"/>
    <s v="Mejoras Transversales"/>
    <s v="MT_14"/>
    <s v="BAJA"/>
    <s v="CORREO DE VENCIMIENTOS DE SEGUIMIENTO:"/>
    <s v="Seguimiento y Control"/>
    <s v="GRM_REVISOR, GRM_ADMINISTRADOR"/>
    <s v="MT_14.4"/>
    <s v="El sistema envía el correo a los usuarios con rol GRM_REVISOR, asegurando que los destinatarios son correctos según la configuración del sistema."/>
    <s v="No"/>
    <s v="2026-07-10"/>
    <x v="0"/>
    <s v="OK"/>
  </r>
  <r>
    <x v="9"/>
    <s v="Mejoras Transversales"/>
    <s v="MT_14"/>
    <s v="BAJA"/>
    <s v="CORREO DE VENCIMIENTOS DE SEGUIMIENTO:"/>
    <s v="Seguimiento y Control"/>
    <s v="GRM_REVISOR, GRM_ADMINISTRADOR"/>
    <s v="MT_14.5"/>
    <s v="En caso de no existir observaciones de seguimiento por vencer, el sistema no envía correo y registra la ejecución del proceso sin resultados."/>
    <s v="No"/>
    <s v="2026-07-10"/>
    <x v="0"/>
    <s v="OK"/>
  </r>
  <r>
    <x v="9"/>
    <s v="Mejoras Transversales"/>
    <s v="MT_15"/>
    <s v="BAJA"/>
    <s v="CORREO DE VENCIMIENTOS DE CONTROL:"/>
    <s v="Seguimiento y Control"/>
    <s v="GRM_REVISOR, GRM_ADMINISTRADOR"/>
    <s v="MT_15.1"/>
    <s v="El sistema ejecuta automáticamente el job de envío de correos el primer día hábil del mes, conforme a la programación definida para el proceso de control."/>
    <s v="No"/>
    <s v="2026-07-10"/>
    <x v="4"/>
    <s v="NOOK"/>
  </r>
  <r>
    <x v="9"/>
    <s v="Mejoras Transversales"/>
    <s v="MT_15"/>
    <s v="BAJA"/>
    <s v="CORREO DE VENCIMIENTOS DE CONTROL:"/>
    <s v="Seguimiento y Control"/>
    <s v="GRM_REVISOR, GRM_ADMINISTRADOR"/>
    <s v="MT_15.2"/>
    <s v="El sistema genera el contenido del correo incluyendo las observaciones de control por vencer, respetando el formato definido en la solución técnica."/>
    <s v="No"/>
    <s v="2026-07-10"/>
    <x v="4"/>
    <s v="NOOK"/>
  </r>
  <r>
    <x v="9"/>
    <s v="Mejoras Transversales"/>
    <s v="MT_15"/>
    <s v="BAJA"/>
    <s v="CORREO DE VENCIMIENTOS DE CONTROL:"/>
    <s v="Seguimiento y Control"/>
    <s v="GRM_REVISOR, GRM_ADMINISTRADOR"/>
    <s v="MT_15.3"/>
    <s v="El sistema envía el correo a los usuarios con rol GRM_REVISOR, asegurando la correcta asignación de destinatarios."/>
    <s v="No"/>
    <s v="2026-07-10"/>
    <x v="0"/>
    <s v="OK"/>
  </r>
  <r>
    <x v="9"/>
    <s v="Mejoras Transversales"/>
    <s v="MT_15"/>
    <s v="BAJA"/>
    <s v="CORREO DE VENCIMIENTOS DE CONTROL:"/>
    <s v="Seguimiento y Control"/>
    <s v="GRM_REVISOR, GRM_ADMINISTRADOR"/>
    <s v="MT_15.4"/>
    <s v="En caso de no existir observaciones de control por vencer, el sistema no envía correo y registra la ejecución del proceso sin resultados."/>
    <s v="No"/>
    <s v="2026-07-10"/>
    <x v="0"/>
    <s v="OK"/>
  </r>
  <r>
    <x v="9"/>
    <s v="Mejoras Transversales"/>
    <s v="MT_16"/>
    <s v="BAJA"/>
    <s v="CORREO DE VENCIMIENTOS DE AUDITORÍA:"/>
    <s v="Auditores y Regulador"/>
    <s v="GRM_REVISOR, GRM_ADMINISTRADOR"/>
    <s v="MT_16.1"/>
    <s v="El sistema ejecuta automáticamente el job de envío de correos el primer día hábil del mes, conforme a la programación definida para auditoría."/>
    <s v="No"/>
    <s v="2026-07-10"/>
    <x v="0"/>
    <s v="OK"/>
  </r>
  <r>
    <x v="9"/>
    <s v="Mejoras Transversales"/>
    <s v="MT_16"/>
    <s v="BAJA"/>
    <s v="CORREO DE VENCIMIENTOS DE AUDITORÍA:"/>
    <s v="Auditores y Regulador"/>
    <s v="GRM_REVISOR, GRM_ADMINISTRADOR"/>
    <s v="MT_16.2"/>
    <s v="El sistema identifica correctamente las observaciones de Auditores y Regulador que vencen en el mes en curso"/>
    <s v="No"/>
    <s v="2026-07-10"/>
    <x v="0"/>
    <s v="OK"/>
  </r>
  <r>
    <x v="9"/>
    <s v="Mejoras Transversales"/>
    <s v="MT_16"/>
    <s v="BAJA"/>
    <s v="CORREO DE VENCIMIENTOS DE AUDITORÍA:"/>
    <s v="Auditores y Regulador"/>
    <s v="GRM_REVISOR, GRM_ADMINISTRADOR"/>
    <s v="MT_16.3"/>
    <s v="El sistema genera el contenido del correo incluyendo las observaciones de auditoría por vencer, respetando el formato definido en la solución técnica."/>
    <s v="No"/>
    <s v="2026-07-10"/>
    <x v="0"/>
    <s v="OK"/>
  </r>
  <r>
    <x v="9"/>
    <s v="Mejoras Transversales"/>
    <s v="MT_16"/>
    <s v="BAJA"/>
    <s v="CORREO DE VENCIMIENTOS DE AUDITORÍA:"/>
    <s v="Auditores y Regulador"/>
    <s v="GRM_REVISOR, GRM_ADMINISTRADOR"/>
    <s v="MT_16.4"/>
    <s v="El sistema envía el correo a los usuarios con rol GRM_REVISOR, asegurando la correcta asignación de destinatarios."/>
    <s v="No"/>
    <s v="2026-07-10"/>
    <x v="0"/>
    <s v="OK"/>
  </r>
  <r>
    <x v="9"/>
    <s v="Mejoras Transversales"/>
    <s v="MT_16"/>
    <s v="BAJA"/>
    <s v="CORREO DE VENCIMIENTOS DE AUDITORÍA:"/>
    <s v="Auditores y Regulador"/>
    <s v="GRM_REVISOR, GRM_ADMINISTRADOR"/>
    <s v="MT_16.5"/>
    <s v="En caso de no existir observaciones de auditoría por vencer, el sistema no envía correo y registra la ejecución del proceso sin resultados."/>
    <s v="No"/>
    <s v="2026-07-10"/>
    <x v="0"/>
    <s v="OK"/>
  </r>
  <r>
    <x v="9"/>
    <s v="Mejoras Transversales"/>
    <s v="MT_17"/>
    <s v="BAJA"/>
    <s v="INFORME DE MODELOS PARA COMITÉ TÉCNICO:"/>
    <s v="Seguimiento y Control"/>
    <s v="GRM_REVISOR, GRM_ADMINISTRADOR"/>
    <s v="MT_17.1"/>
    <s v="DESESTIMADA"/>
    <s v="No"/>
    <m/>
    <x v="5"/>
    <s v="N/A"/>
  </r>
  <r>
    <x v="9"/>
    <s v="Mejoras Transversales"/>
    <s v="MT_18"/>
    <s v="ALTA"/>
    <s v="FILTROS EN DESCARGAS DE TABLAS:"/>
    <s v="General"/>
    <s v="Todos los usuarios"/>
    <s v="MT_18.1"/>
    <s v="DESESTIMADA"/>
    <s v="No"/>
    <m/>
    <x v="5"/>
    <s v="N/A"/>
  </r>
  <r>
    <x v="9"/>
    <s v="Mejoras Transversales"/>
    <s v="MT_19"/>
    <s v="MEDIA"/>
    <s v="ELIMINACIÓN LÓGICA DE REGISTROS:"/>
    <s v="General"/>
    <s v="GRM_ADMINISTRADOR"/>
    <s v="MT_19.1"/>
    <s v="El usuario con rol Administrador puede ejecutar la opción de eliminación sobre distintos tipos de registros (modelos, documentos, observaciones, informes), iniciando el proceso de borrado lógico desde la interfaz correspondiente."/>
    <s v="No"/>
    <m/>
    <x v="3"/>
    <s v="POST"/>
  </r>
  <r>
    <x v="9"/>
    <s v="Mejoras Transversales"/>
    <s v="MT_19"/>
    <s v="MEDIA"/>
    <s v="ELIMINACIÓN LÓGICA DE REGISTROS:"/>
    <s v="General"/>
    <s v="GRM_ADMINISTRADOR"/>
    <s v="MT_19.3"/>
    <s v="Los registros eliminados lógicamente dejan de mostrarse en todas las consultas, reportes y vistas del sistema"/>
    <s v="No"/>
    <m/>
    <x v="3"/>
    <s v="POST"/>
  </r>
  <r>
    <x v="9"/>
    <s v="Mejoras Transversales"/>
    <s v="MT_19"/>
    <s v="MEDIA"/>
    <s v="ELIMINACIÓN LÓGICA DE REGISTROS:"/>
    <s v="General"/>
    <s v="GRM_ADMINISTRADOR"/>
    <s v="MT_19.4"/>
    <s v="El sistema valida restricciones de negocio antes de eliminar, evitando la operación en registros con dependencias activas y gestionando el flujo alternativo correspondiente."/>
    <s v="No"/>
    <m/>
    <x v="3"/>
    <s v="POST"/>
  </r>
  <r>
    <x v="9"/>
    <s v="Mejoras Transversales"/>
    <s v="MT_19"/>
    <s v="MEDIA"/>
    <s v="ELIMINACIÓN LÓGICA DE REGISTROS:"/>
    <s v="General"/>
    <s v="GRM_ADMINISTRADOR"/>
    <s v="MT_19.5"/>
    <s v="El sistema muestra los mensajes correspondientes al resultado de la operación, incluyendo confirmación de éxito (&quot;Registro eliminado correctamente&quot;) o error en caso de falla."/>
    <s v="No"/>
    <m/>
    <x v="3"/>
    <s v="POST"/>
  </r>
  <r>
    <x v="9"/>
    <s v="Mejoras Transversales"/>
    <s v="MT_20"/>
    <s v="BAJA"/>
    <s v="DESCARGA DE PRÓRROGA EN VALIDACIÓN:"/>
    <s v="Validación"/>
    <s v="Sistema (Automatico)"/>
    <s v="MT_20.1"/>
    <s v="Una vez finalizado el formulario de prórroga, el sistema permite generar y descargar el documento correspondiente desde la funcionalidad disponible."/>
    <s v="No"/>
    <m/>
    <x v="5"/>
    <s v="N/A"/>
  </r>
  <r>
    <x v="9"/>
    <s v="Mejoras Transversales"/>
    <s v="MT_20"/>
    <s v="BAJA"/>
    <s v="DESCARGA DE PRÓRROGA EN VALIDACIÓN:"/>
    <s v="Validación"/>
    <s v="Sistema (Automatico)"/>
    <s v="MT_20.2"/>
    <s v="El sistema genera correctamente el documento de prórroga utilizando la plantilla configurada, incluyendo todos los campos definidos (fechas, modelo, justificación, etc.)."/>
    <s v="No"/>
    <m/>
    <x v="5"/>
    <s v="N/A"/>
  </r>
  <r>
    <x v="9"/>
    <s v="Mejoras Transversales"/>
    <s v="MT_20"/>
    <s v="BAJA"/>
    <s v="DESCARGA DE PRÓRROGA EN VALIDACIÓN:"/>
    <s v="Validación"/>
    <s v="Sistema (Automatico)"/>
    <s v="MT_20.3"/>
    <s v="El sistema permite descargar el documento en los formatos disponibles (HTML y/o PDF), generando el archivo de forma completa y consistente."/>
    <s v="No"/>
    <m/>
    <x v="5"/>
    <s v="N/A"/>
  </r>
  <r>
    <x v="9"/>
    <s v="Mejoras Transversales"/>
    <s v="MT_20"/>
    <s v="BAJA"/>
    <s v="DESCARGA DE PRÓRROGA EN VALIDACIÓN:"/>
    <s v="Validación"/>
    <s v="Sistema (Automatico)"/>
    <s v="MT_20.4"/>
    <s v="El sistema muestra el resultado del proceso mediante los mensajes correspondientes, confirmando generación exitosa o indicando error en caso de falla o timeout."/>
    <s v="No"/>
    <m/>
    <x v="5"/>
    <s v="N/A"/>
  </r>
  <r>
    <x v="9"/>
    <s v="Mejoras Transversales"/>
    <s v="MT_21"/>
    <s v="BAJA"/>
    <s v="DESCARGA DE PRÓRROGA EN SEGUIMIENTO:"/>
    <s v="Seguimiento y Control"/>
    <s v="Sistema (Automatico)"/>
    <s v="MT_21.1"/>
    <s v="Una vez completado y guardado el formulario de prórroga, el sistema permite generar y descargar el documento desde la opción disponible en la interfaz."/>
    <s v="No"/>
    <m/>
    <x v="3"/>
    <s v="POST"/>
  </r>
  <r>
    <x v="9"/>
    <s v="Mejoras Transversales"/>
    <s v="MT_21"/>
    <s v="BAJA"/>
    <s v="DESCARGA DE PRÓRROGA EN SEGUIMIENTO:"/>
    <s v="Seguimiento y Control"/>
    <s v="Sistema (Automatico)"/>
    <s v="MT_21.2"/>
    <s v="El sistema genera correctamente el documento utilizando la plantilla configurada, incluyendo los campos definidos del formulario (fechas, modelo, justificación, entre otros)."/>
    <s v="No"/>
    <m/>
    <x v="3"/>
    <s v="POST"/>
  </r>
  <r>
    <x v="9"/>
    <s v="Mejoras Transversales"/>
    <s v="MT_21"/>
    <s v="BAJA"/>
    <s v="DESCARGA DE PRÓRROGA EN SEGUIMIENTO:"/>
    <s v="Seguimiento y Control"/>
    <s v="Sistema (Automatico)"/>
    <s v="MT_21.3"/>
    <s v="El sistema permite descargar el documento en los formatos disponibles (HTML, PDF o Word según corresponda), generando el archivo de forma completa y consistente."/>
    <s v="No"/>
    <m/>
    <x v="3"/>
    <s v="POST"/>
  </r>
  <r>
    <x v="9"/>
    <s v="Mejoras Transversales"/>
    <s v="MT_21"/>
    <s v="BAJA"/>
    <s v="DESCARGA DE PRÓRROGA EN SEGUIMIENTO:"/>
    <s v="Seguimiento y Control"/>
    <s v="Sistema (Automatico)"/>
    <s v="MT_21.4"/>
    <s v="El sistema muestra el resultado del proceso mediante el mensaje definido (&quot;Documento generado&quot;) o gestiona el error en caso de falla o timeout."/>
    <s v="No"/>
    <m/>
    <x v="3"/>
    <s v="POST"/>
  </r>
  <r>
    <x v="9"/>
    <s v="Mejoras Transversales"/>
    <s v="MT_22"/>
    <s v="MEDIA"/>
    <s v="VISUALIZACIÓN DE LOG DE CAMBIOS:"/>
    <s v="General"/>
    <s v="GRM_ADMINISTRADOR"/>
    <s v="MT_22.1"/>
    <s v="El usuario con rol Administrador puede acceder al módulo de visualización de logs y consultar el historial de cambios de cualquier registro del sistema."/>
    <s v="No"/>
    <m/>
    <x v="1"/>
    <s v="N/A"/>
  </r>
  <r>
    <x v="9"/>
    <s v="Mejoras Transversales"/>
    <s v="MT_22"/>
    <s v="MEDIA"/>
    <s v="VISUALIZACIÓN DE LOG DE CAMBIOS:"/>
    <s v="General"/>
    <s v="GRM_ADMINISTRADOR"/>
    <s v="MT_22.2"/>
    <s v="El sistema permite realizar búsquedas y filtros sobre los logs (por tabla, ID de registro, usuario, fecha o tipo de acción), mostrando resultados acordes a los criterios seleccionados."/>
    <s v="No"/>
    <m/>
    <x v="1"/>
    <s v="N/A"/>
  </r>
  <r>
    <x v="9"/>
    <s v="Mejoras Transversales"/>
    <s v="MT_22"/>
    <s v="MEDIA"/>
    <s v="VISUALIZACIÓN DE LOG DE CAMBIOS:"/>
    <s v="General"/>
    <s v="GRM_ADMINISTRADOR"/>
    <s v="MT_22.3"/>
    <s v="El sistema muestra el detalle completo de cada cambio, incluyendo acción realizada, usuario, fecha, valores anteriores y nuevos, permitiendo la comparación en caso de actualizaciones."/>
    <s v="No"/>
    <m/>
    <x v="1"/>
    <s v="N/A"/>
  </r>
  <r>
    <x v="9"/>
    <s v="Mejoras Transversales"/>
    <s v="MT_22"/>
    <s v="MEDIA"/>
    <s v="VISUALIZACIÓN DE LOG DE CAMBIOS:"/>
    <s v="General"/>
    <s v="GRM_ADMINISTRADOR"/>
    <s v="MT_22.4"/>
    <s v="El sistema permite exportar el historial de logs a formatos disponibles (Excel o PDF), manteniendo la información consistente con la visualizada en pantalla."/>
    <s v="No"/>
    <m/>
    <x v="1"/>
    <s v="N/A"/>
  </r>
  <r>
    <x v="9"/>
    <s v="Mejoras Transversales"/>
    <s v="MT_22"/>
    <s v="MEDIA"/>
    <s v="VISUALIZACIÓN DE LOG DE CAMBIOS:"/>
    <s v="General"/>
    <s v="GRM_ADMINISTRADOR"/>
    <s v="MT_22.5"/>
    <s v="En caso de no existir registros para los criterios de búsqueda, el sistema muestra un mensaje informativo sin presentar datos inconsistentes."/>
    <s v="No"/>
    <m/>
    <x v="1"/>
    <s v="N/A"/>
  </r>
  <r>
    <x v="9"/>
    <s v="Mejoras Transversales"/>
    <s v="MT_23"/>
    <s v="MEDIA"/>
    <s v="MEJORAS VISUALES: CARACTERES EN CAMPOS:"/>
    <s v="General"/>
    <s v="Todos los usuarios"/>
    <s v="MT_23.1"/>
    <s v="El sistema muestra un contador de caracteres en los campos de texto (simples, textarea y rich text), indicando la cantidad utilizada respecto al límite definido."/>
    <s v="No"/>
    <m/>
    <x v="1"/>
    <s v="N/A"/>
  </r>
  <r>
    <x v="9"/>
    <s v="Mejoras Transversales"/>
    <s v="MT_23"/>
    <s v="MEDIA"/>
    <s v="MEJORAS VISUALES: CARACTERES EN CAMPOS:"/>
    <s v="General"/>
    <s v="Todos los usuarios"/>
    <s v="MT_23.2"/>
    <s v="El contador de caracteres se actualiza en tiempo real a medida que el usuario ingresa o elimina contenido, reflejando correctamente el número de caracteres utilizados."/>
    <s v="No"/>
    <m/>
    <x v="1"/>
    <s v="N/A"/>
  </r>
  <r>
    <x v="9"/>
    <s v="Mejoras Transversales"/>
    <s v="MT_23"/>
    <s v="MEDIA"/>
    <s v="MEJORAS VISUALES: CARACTERES EN CAMPOS:"/>
    <s v="General"/>
    <s v="Todos los usuarios"/>
    <s v="MT_23.3"/>
    <s v="El sistema mantiene la funcionalidad existente de los formularios, validando también a nivel servidor los límites de caracteres sin afectar el flujo normal de ingreso de datos."/>
    <s v="No"/>
    <m/>
    <x v="1"/>
    <s v="N/A"/>
  </r>
  <r>
    <x v="9"/>
    <s v="Mejoras Transversales"/>
    <s v="MT_23"/>
    <s v="MEDIA"/>
    <s v="MEJORAS VISUALES: CARACTERES EN CAMPOS:"/>
    <s v="General"/>
    <s v="Todos los usuarios"/>
    <s v="MT_23.4"/>
    <s v="El indicador visual (por ejemplo cambio de color u otra señalización) se comporta correctamente cuando el usuario se aproxima o supera el límite de caracteres definido."/>
    <s v="No"/>
    <m/>
    <x v="1"/>
    <s v="N/A"/>
  </r>
  <r>
    <x v="9"/>
    <s v="Mejoras Transversales"/>
    <s v="MT_24"/>
    <s v="BAJA"/>
    <s v="MARCAJE MASIVO DE NOTIFICACIONES:"/>
    <s v="General"/>
    <s v="Todos los usuarios"/>
    <s v="MT_24.1"/>
    <s v="El usuario puede seleccionar una o más notificaciones mediante checkboxes y ejecutar la acción de marcarlas como leídas desde la interfaz."/>
    <s v="No"/>
    <m/>
    <x v="5"/>
    <s v="N/A"/>
  </r>
  <r>
    <x v="9"/>
    <s v="Mejoras Transversales"/>
    <s v="MT_24"/>
    <s v="BAJA"/>
    <s v="MARCAJE MASIVO DE NOTIFICACIONES:"/>
    <s v="General"/>
    <s v="Todos los usuarios"/>
    <s v="MT_24.2"/>
    <s v="El sistema permite marcar todas las notificaciones como leídas en una sola acción, actualizando el estado de cada una correctamente."/>
    <s v="No"/>
    <m/>
    <x v="5"/>
    <s v="N/A"/>
  </r>
  <r>
    <x v="9"/>
    <s v="Mejoras Transversales"/>
    <s v="MT_24"/>
    <s v="BAJA"/>
    <s v="MARCAJE MASIVO DE NOTIFICACIONES:"/>
    <s v="General"/>
    <s v="Todos los usuarios"/>
    <s v="MT_24.3"/>
    <s v="El sistema valida que las notificaciones seleccionadas pertenezcan al usuario autenticado antes de realizar la actualización."/>
    <s v="No"/>
    <m/>
    <x v="5"/>
    <s v="N/A"/>
  </r>
  <r>
    <x v="9"/>
    <s v="Mejoras Transversales"/>
    <s v="MT_24"/>
    <s v="BAJA"/>
    <s v="MARCAJE MASIVO DE NOTIFICACIONES:"/>
    <s v="General"/>
    <s v="Todos los usuarios"/>
    <s v="MT_24.4"/>
    <s v="El sistema muestra el resultado de la operación mediante el mensaje definido (&quot;X notificaciones marcadas como leídas&quot;) o no realiza cambios cuando no existen notificaciones pendientes."/>
    <s v="No"/>
    <m/>
    <x v="5"/>
    <s v="N/A"/>
  </r>
  <r>
    <x v="9"/>
    <s v="Mejoras Transversales"/>
    <s v="MT_25"/>
    <s v="BAJA"/>
    <s v="MEJORAS VISUALES: TOOLTIPS:"/>
    <s v="General"/>
    <s v="Todos los usuarios"/>
    <s v="MT_25.1"/>
    <s v="El sistema muestra un tooltip descriptivo al posicionar el cursor sobre el ícono de ayuda asociado a los campos del formulario, presentando información contextual correspondiente."/>
    <s v="No"/>
    <m/>
    <x v="3"/>
    <s v="POST"/>
  </r>
  <r>
    <x v="9"/>
    <s v="Mejoras Transversales"/>
    <s v="MT_25"/>
    <s v="BAJA"/>
    <s v="MEJORAS VISUALES: TOOLTIPS:"/>
    <s v="General"/>
    <s v="Todos los usuarios"/>
    <s v="MT_25.2"/>
    <s v="El contenido del tooltip se obtiene desde el mantenedor configurado, permitiendo visualizar descripciones consistentes para cada campo definido."/>
    <s v="No"/>
    <m/>
    <x v="3"/>
    <s v="POST"/>
  </r>
  <r>
    <x v="9"/>
    <s v="Mejoras Transversales"/>
    <s v="MT_25"/>
    <s v="BAJA"/>
    <s v="MEJORAS VISUALES: TOOLTIPS:"/>
    <s v="General"/>
    <s v="Todos los usuarios"/>
    <s v="MT_25.3"/>
    <s v="El sistema muestra correctamente los tooltips en distintos tipos de campos (texto simple, textarea, contenido enriquecido), sin afectar la interacción del formulario."/>
    <s v="No"/>
    <m/>
    <x v="3"/>
    <s v="POST"/>
  </r>
  <r>
    <x v="9"/>
    <s v="Mejoras Transversales"/>
    <s v="MT_25"/>
    <s v="BAJA"/>
    <s v="MEJORAS VISUALES: TOOLTIPS:"/>
    <s v="General"/>
    <s v="Todos los usuarios"/>
    <s v="MT_25.4"/>
    <s v="El sistema valida que el contenido del tooltip sea adecuado (no excesivamente largo o inválido) y asegura una visualización correcta y legible para el usuario."/>
    <s v="No"/>
    <m/>
    <x v="3"/>
    <s v="POST"/>
  </r>
  <r>
    <x v="9"/>
    <s v="Mejoras Transversales"/>
    <s v="MT_26"/>
    <s v="MEDIA"/>
    <s v="FORMATO DE FECHA MES-AÑO:"/>
    <s v="General"/>
    <s v="Todos los usuarios"/>
    <s v="MT_26.1"/>
    <s v="El sistema muestra las fechas en las tablas y reportes con formato visual MM-AAAA, aplicándolo de forma consistente en todos los módulos donde corresponda."/>
    <s v="No"/>
    <m/>
    <x v="3"/>
    <s v="POST"/>
  </r>
  <r>
    <x v="9"/>
    <s v="Mejoras Transversales"/>
    <s v="MT_26"/>
    <s v="MEDIA"/>
    <s v="FORMATO DE FECHA MES-AÑO:"/>
    <s v="General"/>
    <s v="Todos los usuarios"/>
    <s v="MT_26.2"/>
    <s v="El sistema mantiene el formato completo de fecha (DD/MM/YYYY u otro original) en las exportaciones (Excel, PDF u otras), sin afectar la descarga de datos."/>
    <s v="No"/>
    <m/>
    <x v="3"/>
    <s v="POST"/>
  </r>
  <r>
    <x v="9"/>
    <s v="Mejoras Transversales"/>
    <s v="MT_26"/>
    <s v="MEDIA"/>
    <s v="FORMATO DE FECHA MES-AÑO:"/>
    <s v="General"/>
    <s v="Todos los usuarios"/>
    <s v="MT_26.3"/>
    <s v="El sistema aplica el formato únicamente a nivel visual, sin alterar el valor real almacenado en la base de datos ni afectar cálculos o lógica funcional."/>
    <s v="No"/>
    <m/>
    <x v="3"/>
    <s v="POST"/>
  </r>
  <r>
    <x v="9"/>
    <s v="Mejoras Transversales"/>
    <s v="MT_26"/>
    <s v="MEDIA"/>
    <s v="FORMATO DE FECHA MES-AÑO:"/>
    <s v="General"/>
    <s v="Todos los usuarios"/>
    <s v="MT_26.4"/>
    <s v="El sistema respeta las excepciones definidas (por ejemplo fechas con hora o campos específicos), mostrando el formato adecuado cuando corresponda."/>
    <s v="No"/>
    <m/>
    <x v="3"/>
    <s v="POST"/>
  </r>
  <r>
    <x v="9"/>
    <s v="Mejoras Transversales"/>
    <s v="MT_27"/>
    <s v="BAJA"/>
    <s v="NOTIFICACIONES DE VALIDACIÓN AL REVISOR:"/>
    <s v="General"/>
    <s v="GRM_REVISOR, GRM_ADMINISTRADOR"/>
    <s v="MT_27.1"/>
    <s v="Cuando se genera una notificación relacionada a observaciones en validación, el sistema incluye automáticamente al rol GRM_REVISOR y GRM_ADMINISTRADOR como destinatarios adicionales."/>
    <s v="No"/>
    <m/>
    <x v="3"/>
    <s v="POST"/>
  </r>
  <r>
    <x v="9"/>
    <s v="Mejoras Transversales"/>
    <s v="MT_27"/>
    <s v="BAJA"/>
    <s v="NOTIFICACIONES DE VALIDACIÓN AL REVISOR:"/>
    <s v="General"/>
    <s v="GRM_REVISOR, GRM_ADMINISTRADOR"/>
    <s v="MT_27.2"/>
    <s v="El sistema mantiene los destinatarios originales de la notificación, evitando afectar el comportamiento existente al agregar nuevos destinatarios."/>
    <s v="No"/>
    <m/>
    <x v="3"/>
    <s v="POST"/>
  </r>
  <r>
    <x v="9"/>
    <s v="Mejoras Transversales"/>
    <s v="MT_27"/>
    <s v="BAJA"/>
    <s v="NOTIFICACIONES DE VALIDACIÓN AL REVISOR:"/>
    <s v="General"/>
    <s v="GRM_REVISOR, GRM_ADMINISTRADOR"/>
    <s v="MT_27.3"/>
    <s v="El sistema evita la generación de notificaciones duplicadas al incluir al revisor, garantizando un único registro por evento y usuario."/>
    <s v="No"/>
    <m/>
    <x v="3"/>
    <s v="POST"/>
  </r>
  <r>
    <x v="9"/>
    <s v="Mejoras Transversales"/>
    <s v="MT_27"/>
    <s v="BAJA"/>
    <s v="NOTIFICACIONES DE VALIDACIÓN AL REVISOR:"/>
    <s v="General"/>
    <s v="GRM_REVISOR, GRM_ADMINISTRADOR"/>
    <s v="MT_27.4"/>
    <s v="El revisor visualiza correctamente las notificaciones en la interfaz del sistema, asegurando que el evento generado en validación sea visible en su panel de notificaciones."/>
    <s v="No"/>
    <m/>
    <x v="3"/>
    <s v="POST"/>
  </r>
  <r>
    <x v="9"/>
    <s v="Mejoras Transversales"/>
    <s v="MT_28"/>
    <s v="BAJA"/>
    <s v="MARCAJE MASIVO DE NOTIFICACIONES (REPETIDA):"/>
    <s v="General"/>
    <s v="N/A"/>
    <s v="MT_28.1"/>
    <s v="DESESTIMADA"/>
    <s v="No"/>
    <m/>
    <x v="1"/>
    <s v="N/A"/>
  </r>
  <r>
    <x v="9"/>
    <s v="Mejoras Transversales"/>
    <s v="MT_29"/>
    <s v="ALTA"/>
    <s v="PAUSAR VALIDACIONES CONTINUAS:"/>
    <s v="Registrar Información"/>
    <s v="GRM_REVISOR, GRM_ADMINISTRADOR"/>
    <s v="MT_29.1"/>
    <s v="El sistema permite pausar una validación continua asociada a un modelo en estado En Uso, habilitando el ingreso del motivo obligatorio para ejecutar la acción."/>
    <s v="No"/>
    <m/>
    <x v="3"/>
    <s v="POST"/>
  </r>
  <r>
    <x v="9"/>
    <s v="Mejoras Transversales"/>
    <s v="MT_29"/>
    <s v="ALTA"/>
    <s v="PAUSAR VALIDACIONES CONTINUAS:"/>
    <s v="Registrar Información"/>
    <s v="GRM_REVISOR, GRM_ADMINISTRADOR"/>
    <s v="MT_29.2"/>
    <s v="El sistema valida el ingreso del motivo de pausa antes de procesar la solicitud, impidiendo continuar con la operación cuando la información requerida no ha sido informada."/>
    <s v="No"/>
    <m/>
    <x v="3"/>
    <s v="POST"/>
  </r>
  <r>
    <x v="9"/>
    <s v="Mejoras Transversales"/>
    <s v="MT_29"/>
    <s v="ALTA"/>
    <s v="PAUSAR VALIDACIONES CONTINUAS:"/>
    <s v="Registrar Información"/>
    <s v="GRM_REVISOR, GRM_ADMINISTRADOR"/>
    <s v="MT_29.3"/>
    <s v="El sistema muestra la advertencia &quot;Validación ya está pausada&quot; cuando se intenta ejecutar una acción de pausa sobre una validación que ya se encuentra en dicho estado."/>
    <s v="No"/>
    <m/>
    <x v="3"/>
    <s v="POST"/>
  </r>
  <r>
    <x v="9"/>
    <s v="Mejoras Transversales"/>
    <s v="MT_29"/>
    <s v="ALTA"/>
    <s v="PAUSAR VALIDACIONES CONTINUAS:"/>
    <s v="Registrar Información"/>
    <s v="GRM_REVISOR, GRM_ADMINISTRADOR"/>
    <s v="MT_29.4"/>
    <s v="El sistema permite reanudar una validación previamente pausada, reactivando correctamente los procesos automáticos asociados a la validación continua."/>
    <s v="No"/>
    <m/>
    <x v="3"/>
    <s v="POST"/>
  </r>
  <r>
    <x v="9"/>
    <s v="Mejoras Transversales"/>
    <s v="MT_29"/>
    <s v="ALTA"/>
    <s v="PAUSAR VALIDACIONES CONTINUAS:"/>
    <s v="Registrar Información"/>
    <s v="GRM_REVISOR, GRM_ADMINISTRADOR"/>
    <s v="MT_29.5"/>
    <s v="El sistema restringe las acciones de pausa y reanudación de validaciones para usuarios que no cuentan con perfil de revisor o administrador, impidiendo el acceso a estas funcionalidades."/>
    <s v="No"/>
    <m/>
    <x v="3"/>
    <s v="POST"/>
  </r>
  <r>
    <x v="9"/>
    <s v="Mejoras Transversales"/>
    <s v="MT_30"/>
    <s v="ALTA"/>
    <s v="ACTUALIZACIÓN DE FAMILIAS EN MÓDULOS:"/>
    <s v="General"/>
    <s v="Sistema (Automático) / Administrador"/>
    <s v="MT_30.1"/>
    <s v="El sistema detecta la modificación de una familia o subfamilia y actualiza automáticamente todos los modelos afectados por el cambio."/>
    <s v="No"/>
    <m/>
    <x v="5"/>
    <s v="N/A"/>
  </r>
  <r>
    <x v="9"/>
    <s v="Mejoras Transversales"/>
    <s v="MT_30"/>
    <s v="ALTA"/>
    <s v="ACTUALIZACIÓN DE FAMILIAS EN MÓDULOS:"/>
    <s v="General"/>
    <s v="Sistema (Automático) / Administrador"/>
    <s v="MT_30.2"/>
    <s v="El sistema muestra la advertencia &quot;Se actualizarán X registros&quot; antes de ejecutar la propagación, indicando la cantidad de registros impactados por la modificación realizada."/>
    <s v="No"/>
    <m/>
    <x v="5"/>
    <s v="N/A"/>
  </r>
  <r>
    <x v="9"/>
    <s v="Mejoras Transversales"/>
    <s v="MT_30"/>
    <s v="ALTA"/>
    <s v="ACTUALIZACIÓN DE FAMILIAS EN MÓDULOS:"/>
    <s v="General"/>
    <s v="Sistema (Automático) / Administrador"/>
    <s v="MT_30.3"/>
    <s v="El sistema informa el mensaje &quot;X registros actualizados&quot; al finalizar exitosamente la propagación, permitiendo visualizar los cambios reflejados en modelos, observaciones y reportes históricos afectados."/>
    <s v="No"/>
    <m/>
    <x v="5"/>
    <s v="N/A"/>
  </r>
  <r>
    <x v="9"/>
    <s v="Mejoras Transversales"/>
    <s v="MT_30"/>
    <s v="ALTA"/>
    <s v="ACTUALIZACIÓN DE FAMILIAS EN MÓDULOS:"/>
    <s v="General"/>
    <s v="Sistema (Automático) / Administrador"/>
    <s v="MT_30.4"/>
    <s v="El sistema revierte los cambios realizados durante el proceso de actualización en cascada cuando se presenta un error, notificando correctamente la falla de propagación al usuario."/>
    <s v="No"/>
    <m/>
    <x v="5"/>
    <s v="N/A"/>
  </r>
  <r>
    <x v="9"/>
    <s v="Mejoras Transversales"/>
    <s v="MT_31"/>
    <s v="ALTA"/>
    <s v="CAMBIOS EN MANTENEDORES NO RETROACTIVOS:"/>
    <s v="General"/>
    <s v="GRM_ADMINISTRADOR"/>
    <s v="MT_31.1"/>
    <s v="El sistema genera obligatoriamente un snapshot de respaldo antes de permitir la aplicación de cambios sobre un mantenedor, resguardando la información vigente."/>
    <s v="No"/>
    <m/>
    <x v="5"/>
    <s v="N/A"/>
  </r>
  <r>
    <x v="9"/>
    <s v="Mejoras Transversales"/>
    <s v="MT_31"/>
    <s v="ALTA"/>
    <s v="CAMBIOS EN MANTENEDORES NO RETROACTIVOS:"/>
    <s v="General"/>
    <s v="GRM_ADMINISTRADOR"/>
    <s v="MT_31.2"/>
    <s v="El sistema aplica los valores actualizados del mantenedor a los registros creados con posterioridad a la modificación, asegurando el uso de la configuración vigente."/>
    <s v="No"/>
    <m/>
    <x v="5"/>
    <s v="N/A"/>
  </r>
  <r>
    <x v="9"/>
    <s v="Mejoras Transversales"/>
    <s v="MT_31"/>
    <s v="ALTA"/>
    <s v="CAMBIOS EN MANTENEDORES NO RETROACTIVOS:"/>
    <s v="General"/>
    <s v="GRM_ADMINISTRADOR"/>
    <s v="MT_31.3"/>
    <s v="El sistema conserva los valores originales del mantenedor en los registros existentes previos a la modificación, evitando afectaciones por cambios posteriores."/>
    <s v="No"/>
    <m/>
    <x v="5"/>
    <s v="N/A"/>
  </r>
  <r>
    <x v="9"/>
    <s v="Mejoras Transversales"/>
    <s v="MT_31"/>
    <s v="ALTA"/>
    <s v="CAMBIOS EN MANTENEDORES NO RETROACTIVOS:"/>
    <s v="General"/>
    <s v="GRM_ADMINISTRADOR"/>
    <s v="MT_31.4"/>
    <s v="El sistema muestra la advertencia &quot;Snapshot realizado. Cambios no afectarán registros existentes&quot; antes de finalizar la modificación del mantenedor, informando el alcance de los cambios aplicados."/>
    <s v="No"/>
    <m/>
    <x v="5"/>
    <s v="N/A"/>
  </r>
  <r>
    <x v="9"/>
    <s v="Mejoras Transversales"/>
    <s v="MT_31"/>
    <s v="ALTA"/>
    <s v="CAMBIOS EN MANTENEDORES NO RETROACTIVOS:"/>
    <s v="General"/>
    <s v="GRM_ADMINISTRADOR"/>
    <s v="MT_31.5"/>
    <s v="El sistema informa el mensaje &quot;Snapshot guardado, cambios aplicados&quot; al completar exitosamente la actualización, asegurando la integridad de los datos asociados al mantenedor."/>
    <s v="No"/>
    <m/>
    <x v="5"/>
    <s v="N/A"/>
  </r>
  <r>
    <x v="9"/>
    <s v="Mejoras Transversales"/>
    <s v="MT_31"/>
    <s v="ALTA"/>
    <s v="CAMBIOS EN MANTENEDORES NO RETROACTIVOS:"/>
    <s v="General"/>
    <s v="GRM_ADMINISTRADOR"/>
    <s v="MT_31.6"/>
    <s v="El sistema notifica el error ocurrido durante la generación del snapshot y evita la aplicación de modificaciones al mantenedor cuando no es posible completar correctamente el respaldo."/>
    <s v="No"/>
    <m/>
    <x v="5"/>
    <s v="N/A"/>
  </r>
  <r>
    <x v="9"/>
    <s v="Mejoras Transversales"/>
    <s v="MT_32"/>
    <s v="BAJA"/>
    <s v="MENSAJE AL CERRAR FORMULARIO SIN GUARDAR:"/>
    <s v="General"/>
    <s v="Todos los usuarios"/>
    <s v="MT_32.1"/>
    <s v="El sistema muestra un mensaje de confirmación de cierre al intentar salir de un formulario con modificaciones no guardadas, advirtiendo al usuario sobre la existencia de cambios pendientes."/>
    <s v="No"/>
    <m/>
    <x v="3"/>
    <s v="POST"/>
  </r>
  <r>
    <x v="9"/>
    <s v="Mejoras Transversales"/>
    <s v="MT_32"/>
    <s v="BAJA"/>
    <s v="MENSAJE AL CERRAR FORMULARIO SIN GUARDAR:"/>
    <s v="General"/>
    <s v="Todos los usuarios"/>
    <s v="MT_32.2"/>
    <s v="El sistema mantiene abierto el formulario y conserva los cambios realizados cuando el usuario selecciona la opción &quot;Volver a guardar&quot; en el mensaje de confirmación de cierre."/>
    <s v="No"/>
    <m/>
    <x v="3"/>
    <s v="POST"/>
  </r>
  <r>
    <x v="9"/>
    <s v="Mejoras Transversales"/>
    <s v="MT_32"/>
    <s v="BAJA"/>
    <s v="MENSAJE AL CERRAR FORMULARIO SIN GUARDAR:"/>
    <s v="General"/>
    <s v="Todos los usuarios"/>
    <s v="MT_32.3"/>
    <s v="El sistema cierra el formulario y descarta los cambios no guardados cuando el usuario selecciona la opción &quot;Cerrar sin guardar&quot; en el mensaje de confirmación."/>
    <s v="No"/>
    <m/>
    <x v="3"/>
    <s v="POST"/>
  </r>
  <r>
    <x v="9"/>
    <s v="Mejoras Transversales"/>
    <s v="MT_33"/>
    <s v="BAJA"/>
    <s v="CAMPOS EXTRAS OCULTOS EN FORMULARIOS:"/>
    <s v="Registrar Información"/>
    <s v="GRM_ADMINISTRADOR"/>
    <s v="MT_33.1"/>
    <s v="El sistema muestra dinámicamente un nuevo campo adicional en el formulario correspondiente cuando este ha sido configurado como visible para una pantalla determinada."/>
    <s v="No"/>
    <m/>
    <x v="3"/>
    <s v="POST"/>
  </r>
  <r>
    <x v="9"/>
    <s v="Mejoras Transversales"/>
    <s v="MT_33"/>
    <s v="BAJA"/>
    <s v="CAMPOS EXTRAS OCULTOS EN FORMULARIOS:"/>
    <s v="Registrar Información"/>
    <s v="GRM_ADMINISTRADOR"/>
    <s v="MT_33.2"/>
    <s v="El sistema oculta el campo adicional en el formulario configurado cuando el indicador de visibilidad se encuentra desactivado."/>
    <s v="No"/>
    <m/>
    <x v="3"/>
    <s v="POST"/>
  </r>
  <r>
    <x v="9"/>
    <s v="Mejoras Transversales"/>
    <s v="MT_33"/>
    <s v="BAJA"/>
    <s v="CAMPOS EXTRAS OCULTOS EN FORMULARIOS:"/>
    <s v="Registrar Información"/>
    <s v="GRM_ADMINISTRADOR"/>
    <s v="MT_33.3"/>
    <s v="El sistema almacena correctamente la información ingresada en un campo adicional de texto libre, permitiendo su visualización al consultar el registro asociado."/>
    <s v="No"/>
    <m/>
    <x v="3"/>
    <s v="POST"/>
  </r>
  <r>
    <x v="9"/>
    <s v="Mejoras Transversales"/>
    <s v="MT_33"/>
    <s v="BAJA"/>
    <s v="CAMPOS EXTRAS OCULTOS EN FORMULARIOS:"/>
    <s v="Registrar Información"/>
    <s v="GRM_ADMINISTRADOR"/>
    <s v="MT_33.4"/>
    <s v="El sistema impide la creación de campos adicionales con nombres ya existentes, evitando configuraciones duplicadas en el mantenedor."/>
    <s v="No"/>
    <m/>
    <x v="3"/>
    <s v="POST"/>
  </r>
  <r>
    <x v="9"/>
    <s v="Mejoras Transversales"/>
    <s v="MT_34"/>
    <s v="ALTA"/>
    <s v="CARGA DE RESPONSABLE DE EXPLOTACIÓN:"/>
    <s v="General"/>
    <s v="GRM_ADMINISTRADOR"/>
    <s v="MT_34.1"/>
    <s v="El sistema permite registrar un Responsable de Explotación válido para un modelo, almacenando correctamente la información asociada al registro."/>
    <s v="No"/>
    <m/>
    <x v="1"/>
    <s v="N/A"/>
  </r>
  <r>
    <x v="9"/>
    <s v="Mejoras Transversales"/>
    <s v="MT_34"/>
    <s v="ALTA"/>
    <s v="CARGA DE RESPONSABLE DE EXPLOTACIÓN:"/>
    <s v="General"/>
    <s v="GRM_ADMINISTRADOR"/>
    <s v="MT_34.2"/>
    <s v="El sistema actualiza el Responsable de Explotación de un modelo cuando se modifica el valor existente, manteniendo correctamente la asociación con el registro correspondiente."/>
    <s v="No"/>
    <m/>
    <x v="1"/>
    <s v="N/A"/>
  </r>
  <r>
    <x v="9"/>
    <s v="Mejoras Transversales"/>
    <s v="MT_34"/>
    <s v="ALTA"/>
    <s v="CARGA DE RESPONSABLE DE EXPLOTACIÓN:"/>
    <s v="General"/>
    <s v="GRM_ADMINISTRADOR"/>
    <s v="MT_34.3"/>
    <s v="Se visualiza el Responsable de Explotación del modelo en la tabla T_PPAL"/>
    <s v="No"/>
    <m/>
    <x v="1"/>
    <s v="N/A"/>
  </r>
  <r>
    <x v="9"/>
    <s v="Mejoras Transversales"/>
    <s v="MT_35"/>
    <s v="ALTA"/>
    <s v="CARGA DE TIPO DE ENFOQUE:"/>
    <s v="General"/>
    <s v="GRM_ADMINISTRADOR"/>
    <s v="MT_35.1"/>
    <s v="El sistema permite seleccionar un Tipo de Enfoque válido definido en el mantenedor correspondiente, permitiendo el registro exitoso de la observación de validación."/>
    <s v="No"/>
    <m/>
    <x v="5"/>
    <s v="N/A"/>
  </r>
  <r>
    <x v="9"/>
    <s v="Mejoras Transversales"/>
    <s v="MT_35"/>
    <s v="ALTA"/>
    <s v="CARGA DE TIPO DE ENFOQUE:"/>
    <s v="General"/>
    <s v="GRM_ADMINISTRADOR"/>
    <s v="MT_35.2"/>
    <s v="El sistema muestra únicamente los valores de Tipo de Enfoque definidos en el mantenedor correspondiente, asegurando la consistencia de las opciones disponibles para selección."/>
    <s v="No"/>
    <m/>
    <x v="5"/>
    <s v="N/A"/>
  </r>
  <r>
    <x v="9"/>
    <s v="Mejoras Transversales"/>
    <s v="MT_35"/>
    <s v="ALTA"/>
    <s v="CARGA DE TIPO DE ENFOQUE:"/>
    <s v="General"/>
    <s v="GRM_ADMINISTRADOR"/>
    <s v="MT_35.3"/>
    <s v="Se visualiza el Responsable de Explotación del modelo en la tabla T_OBS_VAL"/>
    <s v="No"/>
    <m/>
    <x v="5"/>
    <s v="N/A"/>
  </r>
  <r>
    <x v="9"/>
    <s v="Mejoras Transversales"/>
    <s v="MT_36"/>
    <s v="MEDIA"/>
    <s v="MANTENEDORES DE PLANTILLAS DE OBSERVACIONES:"/>
    <s v="General"/>
    <s v="GRM_ADMINISTRADOR"/>
    <s v="MT_36.1"/>
    <s v="El sistema permite crear una plantilla de observación ingresando módulo, nombre, descripción, archivo válido y estado activo, almacenando correctamente la configuración definida."/>
    <s v="No"/>
    <m/>
    <x v="5"/>
    <s v="N/A"/>
  </r>
  <r>
    <x v="9"/>
    <s v="Mejoras Transversales"/>
    <s v="MT_36"/>
    <s v="MEDIA"/>
    <s v="MANTENEDORES DE PLANTILLAS DE OBSERVACIONES:"/>
    <s v="General"/>
    <s v="GRM_ADMINISTRADOR"/>
    <s v="MT_36.2"/>
    <s v="El sistema actualiza correctamente la información de una plantilla de observación existente cuando se modifican atributos como nombre, descripción o archivo asociado."/>
    <s v="No"/>
    <m/>
    <x v="5"/>
    <s v="N/A"/>
  </r>
  <r>
    <x v="9"/>
    <s v="Mejoras Transversales"/>
    <s v="MT_36"/>
    <s v="MEDIA"/>
    <s v="MANTENEDORES DE PLANTILLAS DE OBSERVACIONES:"/>
    <s v="General"/>
    <s v="GRM_ADMINISTRADOR"/>
    <s v="MT_36.3"/>
    <s v="El sistema valida la unicidad del nombre de la plantilla dentro del mismo módulo, impidiendo el registro de configuraciones duplicadas."/>
    <s v="No"/>
    <m/>
    <x v="5"/>
    <s v="N/A"/>
  </r>
  <r>
    <x v="9"/>
    <s v="Mejoras Transversales"/>
    <s v="MT_36"/>
    <s v="MEDIA"/>
    <s v="MANTENEDORES DE PLANTILLAS DE OBSERVACIONES:"/>
    <s v="General"/>
    <s v="GRM_ADMINISTRADOR"/>
    <s v="MT_36.4"/>
    <s v="El sistema permite asociar archivos de plantilla en formatos válidos (RTF, HTML o DOCX), almacenándolos correctamente junto a la plantilla creada."/>
    <s v="No"/>
    <m/>
    <x v="5"/>
    <s v="N/A"/>
  </r>
  <r>
    <x v="9"/>
    <s v="Mejoras Transversales"/>
    <s v="MT_36"/>
    <s v="MEDIA"/>
    <s v="MANTENEDORES DE PLANTILLAS DE OBSERVACIONES:"/>
    <s v="General"/>
    <s v="GRM_ADMINISTRADOR"/>
    <s v="MT_36.5"/>
    <s v="El sistema muestra la información configurada de una plantilla registrada y permite visualizar correctamente la vista previa del archivo asociado."/>
    <s v="No"/>
    <m/>
    <x v="5"/>
    <s v="N/A"/>
  </r>
  <r>
    <x v="9"/>
    <s v="Mejoras Transversales"/>
    <s v="MT_37"/>
    <s v="MEDIA"/>
    <s v="GLOBO DE DESCRIPCIÓN DE CAMPOS:"/>
    <s v="General"/>
    <s v="Todos los usuarios"/>
    <s v="MT_37.1"/>
    <s v="Posicionar el cursor sobre el ícono &quot;?&quot; de un campo configurado y verificar que se muestre el tooltip con la descripción definida en el mantenedor."/>
    <s v="No"/>
    <m/>
    <x v="1"/>
    <s v="N/A"/>
  </r>
  <r>
    <x v="9"/>
    <s v="Mejoras Transversales"/>
    <s v="MT_37"/>
    <s v="MEDIA"/>
    <s v="GLOBO DE DESCRIPCIÓN DE CAMPOS:"/>
    <s v="General"/>
    <s v="Todos los usuarios"/>
    <s v="MT_37.2"/>
    <s v="Configurar o modificar una descripción desde el mantenedor y validar que el tooltip refleje el nuevo contenido en la aplicación."/>
    <s v="No"/>
    <m/>
    <x v="1"/>
    <s v="N/A"/>
  </r>
  <r>
    <x v="9"/>
    <s v="Mejoras Transversales"/>
    <s v="MT_37"/>
    <s v="MEDIA"/>
    <s v="GLOBO DE DESCRIPCIÓN DE CAMPOS:"/>
    <s v="General"/>
    <s v="Todos los usuarios"/>
    <s v="MT_37.3"/>
    <s v="Verificar que un campo sin descripción activa no muestre contenido distinto al configurado ni información incorrecta al posicionar el cursor."/>
    <s v="No"/>
    <m/>
    <x v="1"/>
    <s v="N/A"/>
  </r>
  <r>
    <x v="9"/>
    <s v="Mejoras Transversales"/>
    <s v="MT_37"/>
    <s v="MEDIA"/>
    <s v="GLOBO DE DESCRIPCIÓN DE CAMPOS:"/>
    <s v="General"/>
    <s v="Todos los usuarios"/>
    <s v="MT_37.4"/>
    <s v="Registrar una descripción con formato HTML básico permitido y validar que el tooltip la visualice correctamente."/>
    <s v="No"/>
    <m/>
    <x v="1"/>
    <s v="N/A"/>
  </r>
  <r>
    <x v="9"/>
    <s v="Mejoras Transversales"/>
    <s v="MT_37"/>
    <s v="MEDIA"/>
    <s v="GLOBO DE DESCRIPCIÓN DE CAMPOS:"/>
    <s v="General"/>
    <s v="Todos los usuarios"/>
    <s v="MT_37.5"/>
    <s v="Acceder a distintos formularios de la aplicación y verificar que los campos configurados presenten su tooltip descriptivo de forma consistente."/>
    <s v="No"/>
    <m/>
    <x v="1"/>
    <s v="N/A"/>
  </r>
  <r>
    <x v="9"/>
    <s v="Mejoras Transversales"/>
    <s v="MT_38"/>
    <s v="BAJA"/>
    <s v="VISUALIZACIÓN DE FUNCIONALIDADES POR ADMIN:"/>
    <s v="General"/>
    <s v="GRM_ADMINISTRADOR"/>
    <s v="MT_38.1"/>
    <s v="El sistema muestra todas las opciones del menú disponibles para el perfil GRM_ADMINISTRADOR, permitiendo el acceso a cada una de las funcionalidades habilitadas."/>
    <s v="No"/>
    <m/>
    <x v="3"/>
    <s v="POST"/>
  </r>
  <r>
    <x v="9"/>
    <s v="Mejoras Transversales"/>
    <s v="MT_38"/>
    <s v="BAJA"/>
    <s v="VISUALIZACIÓN DE FUNCIONALIDADES POR ADMIN:"/>
    <s v="General"/>
    <s v="GRM_ADMINISTRADOR"/>
    <s v="MT_38.2"/>
    <s v="El sistema muestra todos los módulos, pantallas y funcionalidades disponibles al perfil GRM_ADMINISTRADOR, garantizando una visualización completa durante la navegación de la plataforma."/>
    <s v="No"/>
    <m/>
    <x v="3"/>
    <s v="POST"/>
  </r>
  <r>
    <x v="9"/>
    <s v="Mejoras Transversales"/>
    <s v="MT_39"/>
    <s v="MEDIA"/>
    <s v="ACTIVACIÓN DE PILOTO POR ETAPA:"/>
    <s v="General"/>
    <s v="GRM_REVISOR, GRM_ADMINISTRADOR"/>
    <s v="MT_39.1"/>
    <s v="El sistema permite activar la opción Piloto para un modelo en cualquier etapa"/>
    <s v="No"/>
    <m/>
    <x v="3"/>
    <s v="POST"/>
  </r>
  <r>
    <x v="9"/>
    <s v="Mejoras Transversales"/>
    <s v="MT_39"/>
    <s v="MEDIA"/>
    <s v="ACTIVACIÓN DE PILOTO POR ETAPA:"/>
    <s v="General"/>
    <s v="GRM_REVISOR, GRM_ADMINISTRADOR"/>
    <s v="MT_39.3"/>
    <s v="El sistema muestra el indicador de Piloto activo junto con la etapa seleccionada al consultar nuevamente el modelo, reflejando la información previamente registrada."/>
    <s v="No"/>
    <m/>
    <x v="3"/>
    <s v="POST"/>
  </r>
  <r>
    <x v="9"/>
    <s v="Mejoras Transversales"/>
    <s v="MT_39"/>
    <s v="MEDIA"/>
    <s v="ACTIVACIÓN DE PILOTO POR ETAPA:"/>
    <s v="General"/>
    <s v="GRM_REVISOR, GRM_ADMINISTRADOR"/>
    <s v="MT_39.4"/>
    <s v="El sistema permite desactivar la opción Piloto de un modelo previamente configurado, registrando correctamente la actualización y preservando la lógica de etapas definida para el modelo."/>
    <s v="No"/>
    <m/>
    <x v="3"/>
    <s v="POST"/>
  </r>
  <r>
    <x v="9"/>
    <s v="Mejoras Transversales"/>
    <s v="MT_39"/>
    <s v="MEDIA"/>
    <s v="ACTIVACIÓN DE PILOTO POR ETAPA:"/>
    <s v="General"/>
    <s v="GRM_REVISOR, GRM_ADMINISTRADOR"/>
    <s v="MT_39.5"/>
    <s v="La activación o desactivación del Piloto será reflejada en la tabla T_PPAL"/>
    <s v="No"/>
    <m/>
    <x v="3"/>
    <s v="POST"/>
  </r>
  <r>
    <x v="10"/>
    <s v="Registro Información"/>
    <m/>
    <m/>
    <s v="Pruebas Transversales"/>
    <s v="Todas"/>
    <m/>
    <s v="RI_0_1"/>
    <s v="Los atributos de los campos son los definidos en el documento de Análisis y Diseño: Largos de campo, Tipo de datos y Obligatoriedad/Opcional"/>
    <s v="No"/>
    <s v="2026-04-30"/>
    <x v="0"/>
    <s v="OK"/>
  </r>
  <r>
    <x v="10"/>
    <s v="Registro Información"/>
    <m/>
    <m/>
    <s v="Pruebas Transversales"/>
    <s v="Todas"/>
    <m/>
    <s v="RI_0_2"/>
    <s v="Las Validaciones y alertas son las definidas en el documento de Análisis y Diseño: Alerta para campos obligatorios o con formato específico (ej. sólo números), Mensajes de validación y momento de validación (al ingresar dato o al guardar el formulario)"/>
    <s v="No"/>
    <s v="2026-03-30"/>
    <x v="0"/>
    <s v="OK"/>
  </r>
  <r>
    <x v="10"/>
    <s v="Registro Información"/>
    <m/>
    <m/>
    <s v="Pruebas Transversales"/>
    <s v="Todas"/>
    <m/>
    <s v="RI_0_3"/>
    <s v="Los perfiles pueden acceder a las pantallas y funcionalidades definidas en el documento de Análisis y Diseño"/>
    <s v="No"/>
    <s v="2026-08-04"/>
    <x v="0"/>
    <s v="OK"/>
  </r>
  <r>
    <x v="10"/>
    <s v="Registro Información"/>
    <m/>
    <m/>
    <s v="Pruebas Transversales"/>
    <s v="Todas"/>
    <m/>
    <s v="RI_0_4_1"/>
    <s v="La vista T_PPAL está actualizada con los campos nuevos y eliminados"/>
    <s v="Si"/>
    <s v="2026-06-08"/>
    <x v="0"/>
    <s v="OK"/>
  </r>
  <r>
    <x v="10"/>
    <s v="Registro Información"/>
    <m/>
    <m/>
    <s v="Pruebas Transversales"/>
    <s v="Todas"/>
    <m/>
    <s v="RI_0_4_2"/>
    <s v="La vista T_Usuarios está actualizada con los campos nuevos"/>
    <s v="No"/>
    <s v="2026-05-28"/>
    <x v="0"/>
    <s v="OK"/>
  </r>
  <r>
    <x v="10"/>
    <s v="Registro Información"/>
    <m/>
    <m/>
    <s v="Pruebas Transversales"/>
    <s v="Todas"/>
    <m/>
    <s v="RI_0_5"/>
    <s v="El aplicativo debe autoajustarse al tamaño de la ventana"/>
    <s v="Si"/>
    <s v="2026-02-16"/>
    <x v="0"/>
    <s v="OK"/>
  </r>
  <r>
    <x v="10"/>
    <s v="Registro Información"/>
    <m/>
    <m/>
    <s v="Pruebas Transversales"/>
    <s v="Todas"/>
    <m/>
    <s v="RI_0_6"/>
    <s v="Los Mantenedores permiten ingresar/editar/eliminar nuevas opciones, sin duplicar los datos"/>
    <s v="Si"/>
    <s v="2026-03-03"/>
    <x v="0"/>
    <s v="OK"/>
  </r>
  <r>
    <x v="10"/>
    <s v="Registro Información"/>
    <m/>
    <m/>
    <s v="Pruebas Transversales"/>
    <s v="Todas"/>
    <m/>
    <s v="RI_0_7"/>
    <s v="Los campos deben de quedar bloqueados para todos los usuarios al enviar a revisión"/>
    <s v="Si"/>
    <s v="2026-03-02"/>
    <x v="0"/>
    <s v="OK"/>
  </r>
  <r>
    <x v="10"/>
    <s v="Registro Información"/>
    <m/>
    <m/>
    <s v="Pruebas Transversales"/>
    <s v="Todas"/>
    <m/>
    <s v="RI_0_8"/>
    <s v="El revisor debe poder enviar a reparar los formularios, esto hace que los perfiles se les desbloqueen los campos para volver a editarlos"/>
    <s v="Si"/>
    <s v="2026-03-03"/>
    <x v="0"/>
    <s v="OK"/>
  </r>
  <r>
    <x v="10"/>
    <s v="Registro Información"/>
    <s v="RI_1"/>
    <m/>
    <s v="Para los revisores y en la tabla T_Ppal, debe aparecer la cantidad de días que lleva el modelo/metodología en la etapa activa"/>
    <s v="Registrar Información"/>
    <m/>
    <s v="RI_1_1"/>
    <s v="El contador de días se visualiza sólo para las etapas activas de un modelo activo"/>
    <s v="No"/>
    <s v="2026-03-30"/>
    <x v="3"/>
    <s v="POST"/>
  </r>
  <r>
    <x v="10"/>
    <s v="Registro Información"/>
    <s v="RI_1"/>
    <m/>
    <s v="Para los revisores y en la tabla T_Ppal, debe aparecer la cantidad de días que lleva el modelo/metodología en la etapa activa"/>
    <s v="Registrar Información"/>
    <m/>
    <s v="RI_1_2"/>
    <s v="Modelos Activos sin etapa re-activada: Se contabilizan días hábiles desde la entrada en vigencia de una etapa"/>
    <s v="No"/>
    <s v="2026-02-17"/>
    <x v="3"/>
    <s v="POST"/>
  </r>
  <r>
    <x v="10"/>
    <s v="Registro Información"/>
    <s v="RI_1"/>
    <m/>
    <s v="Para los revisores y en la tabla T_Ppal, debe aparecer la cantidad de días que lleva el modelo/metodología en la etapa activa"/>
    <s v="Registrar Información"/>
    <m/>
    <s v="RI_1_3"/>
    <s v="Etapas Re-activadas: Se contabilizan días hábiles desde la fecha de re-activación de la etapa"/>
    <s v="No"/>
    <s v="2026-02-17"/>
    <x v="3"/>
    <s v="POST"/>
  </r>
  <r>
    <x v="10"/>
    <s v="Registro Información"/>
    <s v="RI_1"/>
    <m/>
    <s v="Para los revisores y en la tabla T_Ppal, debe aparecer la cantidad de días que lleva el modelo/metodología en la etapa activa"/>
    <s v="Registrar Información"/>
    <m/>
    <s v="RI_1_4"/>
    <s v="Modelos Caducos o Etapa finalizada: No se visualiza contador de días ni leyendas asociadas al contador de días"/>
    <s v="No"/>
    <s v="2026-02-17"/>
    <x v="3"/>
    <s v="POST"/>
  </r>
  <r>
    <x v="10"/>
    <s v="Registro Información"/>
    <s v="RI_1"/>
    <m/>
    <s v="Para los revisores y en la tabla T_Ppal, debe aparecer la cantidad de días que lleva el modelo/metodología en la etapa activa"/>
    <s v="Registrar Información"/>
    <m/>
    <s v="RI_1_5"/>
    <s v="Excepciones/Casos de Borde: Pueden haber 2 o más etapas activas con su contador de días"/>
    <s v="No"/>
    <s v="2026-02-17"/>
    <x v="3"/>
    <s v="POST"/>
  </r>
  <r>
    <x v="10"/>
    <s v="Registro Información"/>
    <s v="RI_1"/>
    <m/>
    <s v="Para los revisores y en la tabla T_Ppal, debe aparecer la cantidad de días que lleva el modelo/metodología en la etapa activa"/>
    <s v="Registrar Información"/>
    <m/>
    <s v="RI_1_6"/>
    <s v="El resto de la funcionalidad de la pantalla no se ve afectada por la incorporación del contador de días"/>
    <s v="No"/>
    <s v="2026-02-17"/>
    <x v="3"/>
    <s v="POST"/>
  </r>
  <r>
    <x v="10"/>
    <s v="Registro Información"/>
    <s v="RI_2"/>
    <m/>
    <s v="Para los revisores semanalmente se debe enviar un reporte con todos los modelos activos con el detalle de los modelos, etapas y días que llevan"/>
    <s v="Registrar Información"/>
    <m/>
    <s v="RI_2_1"/>
    <s v="El reporte se envía sólo a la nómina de destinatarios definidos en la tabla DESTINATARIO_REVISORES"/>
    <s v="No"/>
    <s v="2026-04-06"/>
    <x v="0"/>
    <s v="OK"/>
  </r>
  <r>
    <x v="10"/>
    <s v="Registro Información"/>
    <s v="RI_2"/>
    <m/>
    <s v="Para los revisores semanalmente se debe enviar un reporte con todos los modelos activos con el detalle de los modelos, etapas y días que llevan"/>
    <s v="Registrar Información"/>
    <m/>
    <s v="RI_2_2"/>
    <s v="El día y horario se pueden configurar por medio de mantenedor"/>
    <s v="No"/>
    <s v="2026-04-15"/>
    <x v="0"/>
    <s v="OK"/>
  </r>
  <r>
    <x v="10"/>
    <s v="Registro Información"/>
    <s v="RI_2"/>
    <m/>
    <s v="Para los revisores semanalmente se debe enviar un reporte con todos los modelos activos con el detalle de los modelos, etapas y días que llevan"/>
    <s v="Registrar Información"/>
    <m/>
    <s v="RI_2_3"/>
    <s v="El remitente del correo con el informe es MRM_RiesgoModelo@bancochile.cl"/>
    <s v="No"/>
    <s v="2026-03-30"/>
    <x v="0"/>
    <s v="OK"/>
  </r>
  <r>
    <x v="10"/>
    <s v="Registro Información"/>
    <s v="RI_2"/>
    <m/>
    <s v="Para los revisores semanalmente se debe enviar un reporte con todos los modelos activos con el detalle de los modelos, etapas y días que llevan"/>
    <s v="Registrar Información"/>
    <m/>
    <s v="RI_2_4"/>
    <s v="Se recibe el correo con archivo adjunto, en formato excel, con el listado de modelos activos y los siguientes campos Id, versión, nombre, SubNivel3/4, Etapa, días activos"/>
    <s v="No"/>
    <s v="2026-03-30"/>
    <x v="0"/>
    <s v="OK"/>
  </r>
  <r>
    <x v="10"/>
    <s v="Registro Información"/>
    <s v="RI_2"/>
    <m/>
    <s v="Para los revisores semanalmente se debe enviar un reporte con todos los modelos activos con el detalle de los modelos, etapas y días que llevan"/>
    <s v="Registrar Información"/>
    <m/>
    <s v="RI_2_5"/>
    <s v="En el caso de falla en servicio de correo u otra anomalía, se debe notificar el error a MRM_RiesgoModelo@bancochile.cl"/>
    <s v="No"/>
    <s v="2026-03-30"/>
    <x v="0"/>
    <s v="OK"/>
  </r>
  <r>
    <x v="10"/>
    <s v="Registro Información"/>
    <s v="RI_2"/>
    <m/>
    <s v="Para los revisores semanalmente se debe enviar un reporte con todos los modelos activos con el detalle de los modelos, etapas y días que llevan"/>
    <s v="Registrar Información"/>
    <m/>
    <s v="RI_2_6"/>
    <s v="Cuadratura: La cantidad de modelos activos del reporte coincide con el total de modelos activos del sistema"/>
    <s v="No"/>
    <s v="2026-03-30"/>
    <x v="0"/>
    <s v="OK"/>
  </r>
  <r>
    <x v="10"/>
    <s v="Registro Información"/>
    <s v="RI_3"/>
    <m/>
    <s v="Se debe poder dejar activos los modelos en más de una etapa, por ejemplo validaciones desarrollo e implementación activos."/>
    <s v="Registrar Información"/>
    <m/>
    <s v="RI_3_1"/>
    <s v="Los modelos activos pueden tener a lo menos 1 etapa activa"/>
    <s v="No"/>
    <s v="2026-02-16"/>
    <x v="3"/>
    <s v="POST"/>
  </r>
  <r>
    <x v="10"/>
    <s v="Registro Información"/>
    <s v="RI_3"/>
    <m/>
    <s v="Se debe poder dejar activos los modelos en más de una etapa, por ejemplo validaciones desarrollo e implementación activos."/>
    <s v="Registrar Información"/>
    <m/>
    <s v="RI_3_2"/>
    <s v="El modelo puede tener todas las etapas activas"/>
    <s v="No"/>
    <s v="2026-02-16"/>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1"/>
    <s v="Una o todas las etapas pueden ser reactivadas"/>
    <s v="No"/>
    <s v="2026-02-16"/>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2"/>
    <s v="Se puede re-activar un modelo el mismo día"/>
    <s v="No"/>
    <s v="2026-02-16"/>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3"/>
    <s v="Cuando se reactiva una etapa debe habilitarse debe el botón de aprobación de la etapa"/>
    <s v="No"/>
    <m/>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4"/>
    <s v="No se debe reactivar una etapa si en etapas de desarrollo el modelo fue &quot;Rechazado&quot; o gobierno queda &quot;No Aprobado&quot;"/>
    <s v="No"/>
    <m/>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5"/>
    <s v="El modelo puede re-activarse sólo si se indica el motivo de reactivación"/>
    <s v="No"/>
    <s v="2026-03-02"/>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6"/>
    <s v="Los adjuntos son opcionales"/>
    <s v="No"/>
    <m/>
    <x v="3"/>
    <s v="POST"/>
  </r>
  <r>
    <x v="10"/>
    <s v="Registro Información"/>
    <s v="RI_4"/>
    <m/>
    <s v="Al activar por segunda o más veces una etapa, debe aparecer el formulario de cambio de etapa (actualmente en el módulo Seguimiento y Monitoreo - columna Estado) para poder poner un motivo."/>
    <s v="Registrar Información"/>
    <m/>
    <s v="RI_4_7"/>
    <s v="Debe mostrarse una alerta si no se indica el motivo de reactivación"/>
    <s v="No"/>
    <s v="2026-03-02"/>
    <x v="3"/>
    <s v="POST"/>
  </r>
  <r>
    <x v="10"/>
    <s v="Registro Información"/>
    <s v="RI_5"/>
    <m/>
    <s v="Cambio en el nombre del propósito a &quot;Objetivo&quot;"/>
    <s v="Desarrollo  /  cambio visual de nombres de campos"/>
    <m/>
    <s v="RI_5_1"/>
    <s v="Confirmar cambio de nombre, correcta redacción y ubicación en pantalla"/>
    <s v="No"/>
    <s v="2026-01-28"/>
    <x v="0"/>
    <s v="OK"/>
  </r>
  <r>
    <x v="10"/>
    <s v="Registro Información"/>
    <s v="RI_6"/>
    <m/>
    <s v="Se debe cambiar el nombre del campo de &quot;Justificación&quot; por &quot;Justificación de la Criticidad de Uso&quot;"/>
    <s v="Desarrollo / pestaña Materialidad / cambio visual de nombres de campos"/>
    <m/>
    <s v="RI_6_1"/>
    <s v="Confirmar cambio de nombre, correcta redacción y ubicación en pantalla"/>
    <s v="No"/>
    <s v="2026-01-28"/>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
    <s v="Al ingresar a la pantalla se cargan todos los usos que hayan sido guardados con anterioridad"/>
    <s v="No"/>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2"/>
    <s v="Si no existen usos guardados, los campos Uso y Áreas quedan vacíos y disponibles para ingresar información"/>
    <s v="No"/>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3"/>
    <s v="La funcionalidad permite agregar N Usos"/>
    <s v="No"/>
    <s v="2026-04-1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4"/>
    <s v="La funcionalidad permite modificar Usos"/>
    <s v="No"/>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5"/>
    <s v="La funcionalidad permite eliminar Usos"/>
    <s v="No"/>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6"/>
    <s v="Si el modelo se envió a Revisión, el sistema no debe permitir Agregar/Modificar/Eliminar Usos"/>
    <s v="No"/>
    <s v="2026-03-27"/>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7"/>
    <s v="El campo Áreas Usuarias permite la búsqueda por medio de la funcionalidad actual del sistema"/>
    <s v="No"/>
    <s v="2026-01-28"/>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8"/>
    <s v="Los campos &quot;Uso&quot; y &quot;Areas&quot; son obligatorios y se levanta una alerta en caso que se quiera guardar la información sin los campos completos"/>
    <s v="No"/>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9"/>
    <s v="Aparece un campo obligatorio &quot;Área Usuaria&quot; asociado al Modelo en Etapa de &quot;Desarrollo&quot;"/>
    <s v="Si"/>
    <s v="2026-02-16"/>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0"/>
    <s v="Al presionar el botón &quot;Nuevo Modelo&quot; en la línea de tiempo se crean nuevas versiones y no nuevos modelos"/>
    <s v="Si"/>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1"/>
    <s v="Guardado del formulario"/>
    <s v="Si"/>
    <s v="2026-03-02"/>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2"/>
    <s v="Opciones de la grilla Usos"/>
    <s v="Si"/>
    <s v="2026-02-16"/>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3"/>
    <s v="ID Solicitud no puede ser editable"/>
    <s v="Si"/>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4"/>
    <s v="Título del formulario &quot;Solicitud Desarrollo&quot; repetido"/>
    <s v="Si"/>
    <s v="2026-02-05"/>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5"/>
    <s v="Creación de Nuevo modelo"/>
    <s v="Si"/>
    <s v="2026-02-23"/>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6"/>
    <s v="Alerta de campos obligatorios"/>
    <s v="Si"/>
    <s v="2026-02-11"/>
    <x v="0"/>
    <s v="OK"/>
  </r>
  <r>
    <x v="10"/>
    <s v="Registro Información"/>
    <s v="RI_7"/>
    <m/>
    <s v="RI_7: Se debe agregar en la pestaña Información General, el campo Usos: el cual puede ser mayor a uno, seleccionando el simbolo &quot;+&quot; junto al campo de texto."/>
    <s v="Desarrollo / pestaña Información General / campo usos - áreas"/>
    <m/>
    <s v="RI_7-8_17"/>
    <s v="Observaciones de Usabilidad"/>
    <s v="Si"/>
    <s v="2026-03-13"/>
    <x v="0"/>
    <s v="OK"/>
  </r>
  <r>
    <x v="10"/>
    <s v="Registro Información"/>
    <s v="RI_9"/>
    <m/>
    <s v="Se debe agregar un mantenedor para el listado de Usos"/>
    <s v="Desarrollo / pestaña Información General / campo usos - mantenedor"/>
    <m/>
    <s v="RI_9_1"/>
    <s v="N/A Caso de Prueba.  Los Usos son texto libre y no requieren mantenedor"/>
    <s v="No"/>
    <s v="2026-01-28"/>
    <x v="1"/>
    <s v="N/A"/>
  </r>
  <r>
    <x v="10"/>
    <s v="Registro Información"/>
    <s v="RI_10"/>
    <m/>
    <s v="Para la pestaña Materialidad se añaden nuevos campos: “Servidor”, “Base de datos”, “Esquema”, “otros” y “Responsable” todos estos campos tendrán opciones por mantenedor (a excepción de “otros”.)"/>
    <s v="Desarrollo / pestaña Información General / cambio visual de nombres de campos"/>
    <m/>
    <s v="RI_10_1"/>
    <s v="Al abrir la pestaña Materialidad, se cargan las topologías ingresadas con anterioridad. Caso contrario no muestra ninguna"/>
    <s v="No"/>
    <s v="2026-02-05"/>
    <x v="0"/>
    <s v="OK"/>
  </r>
  <r>
    <x v="10"/>
    <s v="Registro Información"/>
    <s v="RI_10"/>
    <m/>
    <s v="Para la pestaña Materialidad se añaden nuevos campos: “Servidor”, “Base de datos”, “Esquema”, “otros” y “Responsable” todos estos campos tendrán opciones por mantenedor (a excepción de “otros”.)"/>
    <s v="Desarrollo / pestaña Información General / cambio visual de nombres de campos"/>
    <m/>
    <s v="RI_10_2"/>
    <s v="La funcionalidad permite agregar N topologías"/>
    <s v="No"/>
    <s v="2026-02-05"/>
    <x v="0"/>
    <s v="OK"/>
  </r>
  <r>
    <x v="10"/>
    <s v="Registro Información"/>
    <s v="RI_10"/>
    <m/>
    <s v="Para la pestaña Materialidad se añaden nuevos campos: “Servidor”, “Base de datos”, “Esquema”, “otros” y “Responsable” todos estos campos tendrán opciones por mantenedor (a excepción de “otros”.)"/>
    <s v="Desarrollo / pestaña Información General / cambio visual de nombres de campos"/>
    <m/>
    <s v="RI_10_3"/>
    <s v="La funcionalidad permite modificar topologías"/>
    <s v="No"/>
    <s v="2026-02-05"/>
    <x v="0"/>
    <s v="OK"/>
  </r>
  <r>
    <x v="10"/>
    <s v="Registro Información"/>
    <s v="RI_10"/>
    <m/>
    <s v="Para la pestaña Materialidad se añaden nuevos campos: “Servidor”, “Base de datos”, “Esquema”, “otros” y “Responsable” todos estos campos tendrán opciones por mantenedor (a excepción de “otros”.)"/>
    <s v="Desarrollo / pestaña Información General / cambio visual de nombres de campos"/>
    <m/>
    <s v="RI_10_4"/>
    <s v="La funcionalidad permite eliminar topologías"/>
    <s v="No"/>
    <s v="2026-02-05"/>
    <x v="0"/>
    <s v="OK"/>
  </r>
  <r>
    <x v="10"/>
    <s v="Registro Información"/>
    <s v="RI_10"/>
    <m/>
    <s v="Para la pestaña Materialidad se añaden nuevos campos: “Servidor”, “Base de datos”, “Esquema”, “otros” y “Responsable” todos estos campos tendrán opciones por mantenedor (a excepción de “otros”.)"/>
    <s v="Desarrollo / pestaña Información General / cambio visual de nombres de campos"/>
    <m/>
    <s v="RI_10_5"/>
    <s v="Todos los campos son obligatorios"/>
    <s v="No"/>
    <s v="2026-02-05"/>
    <x v="0"/>
    <s v="OK"/>
  </r>
  <r>
    <x v="10"/>
    <s v="Registro Información"/>
    <s v="RI_10"/>
    <m/>
    <s v="Para la pestaña Materialidad se añaden nuevos campos: “Servidor”, “Base de datos”, “Esquema”, “otros” y “Responsable” todos estos campos tendrán opciones por mantenedor (a excepción de “otros”.)"/>
    <s v="Desarrollo / pestaña Información General / cambio visual de nombres de campos"/>
    <m/>
    <s v="RI_10_6"/>
    <s v="El sistema debe alertar cuando no se completan los campos obligatorios"/>
    <s v="No"/>
    <s v="2026-02-05"/>
    <x v="0"/>
    <s v="OK"/>
  </r>
  <r>
    <x v="10"/>
    <s v="Registro Información"/>
    <s v="RI_11"/>
    <m/>
    <s v="RI_11: Al abrir la ventana para agregar Exposiciones (+), se debe abrir una ventana informativa con la exposición de la versión anterior. Debe aparecer la Familia (correspondiente al mod_fam_subn3 y la exposición )"/>
    <s v="Desarrollo / pestaña Materialidad / ventana informativa exposicion"/>
    <m/>
    <s v="RI_11-12_1"/>
    <s v="La funcionalidad muestra la última exposición ingresada junto con su familia de modelos. En caso que no exista, debe indicarse que no hay exposiciones"/>
    <s v="No"/>
    <s v="2026-04-15"/>
    <x v="0"/>
    <s v="OK"/>
  </r>
  <r>
    <x v="10"/>
    <s v="Registro Información"/>
    <s v="RI_11"/>
    <m/>
    <s v="RI_11: Al abrir la ventana para agregar Exposiciones (+), se debe abrir una ventana informativa con la exposición de la versión anterior. Debe aparecer la Familia (correspondiente al mod_fam_subn3 y la exposición )"/>
    <s v="Desarrollo / pestaña Materialidad / ventana informativa exposicion"/>
    <m/>
    <s v="RI_11-12_2"/>
    <s v="La funcionalidad debe permitir agregar una nueva exposición con valores absolutos y la unidad de medida correspondiente (CLP, Unidades, etc)"/>
    <s v="No"/>
    <s v="2026-04-13"/>
    <x v="0"/>
    <s v="OK"/>
  </r>
  <r>
    <x v="10"/>
    <s v="Registro Información"/>
    <s v="RI_11"/>
    <m/>
    <s v="RI_11: Al abrir la ventana para agregar Exposiciones (+), se debe abrir una ventana informativa con la exposición de la versión anterior. Debe aparecer la Familia (correspondiente al mod_fam_subn3 y la exposición )"/>
    <s v="Desarrollo / pestaña Materialidad / ventana informativa exposicion"/>
    <m/>
    <s v="RI_11-12_3"/>
    <s v="El subnivel3, unidad de exposición y exposición deben ser datos obligatorios"/>
    <s v="No"/>
    <s v="2026-03-12"/>
    <x v="0"/>
    <s v="OK"/>
  </r>
  <r>
    <x v="10"/>
    <s v="Registro Información"/>
    <s v="RI_11"/>
    <m/>
    <s v="RI_11: Al abrir la ventana para agregar Exposiciones (+), se debe abrir una ventana informativa con la exposición de la versión anterior. Debe aparecer la Familia (correspondiente al mod_fam_subn3 y la exposición )"/>
    <s v="Desarrollo / pestaña Materialidad / ventana informativa exposicion"/>
    <m/>
    <s v="RI_11-12_4"/>
    <s v="El sistema debe alertar cuando no se completan los datos obligatorios"/>
    <s v="No"/>
    <s v="2026-03-12"/>
    <x v="0"/>
    <s v="OK"/>
  </r>
  <r>
    <x v="10"/>
    <s v="Registro Información"/>
    <s v="RI_11"/>
    <m/>
    <s v="RI_11: Al abrir la ventana para agregar Exposiciones (+), se debe abrir una ventana informativa con la exposición de la versión anterior. Debe aparecer la Familia (correspondiente al mod_fam_subn3 y la exposición )"/>
    <s v="Desarrollo / pestaña Materialidad / ventana informativa exposicion"/>
    <m/>
    <s v="RI_11-12_5"/>
    <s v="Excepción: No todos los modelos tienen subnivel3. En ese caso la funcionalidad debe mostrar sólo la exposición"/>
    <s v="No"/>
    <s v="2026-03-12"/>
    <x v="0"/>
    <s v="OK"/>
  </r>
  <r>
    <x v="10"/>
    <s v="Registro Información"/>
    <s v="RI_11"/>
    <m/>
    <s v="RI_11: Al abrir la ventana para agregar Exposiciones (+), se debe abrir una ventana informativa con la exposición de la versión anterior. Debe aparecer la Familia (correspondiente al mod_fam_subn3 y la exposición )"/>
    <s v="Desarrollo / pestaña Materialidad / ventana informativa exposicion"/>
    <m/>
    <s v="RI_11-12_6"/>
    <s v="Luego de completar los datos obligatorios, el sistema guarda correctamente los datos"/>
    <s v="Si"/>
    <s v="23-deb"/>
    <x v="0"/>
    <s v="OK"/>
  </r>
  <r>
    <x v="10"/>
    <s v="Registro Información"/>
    <s v="RI_13"/>
    <m/>
    <s v="RI_13: Agregar en la pestaña Desarrollo, el campo desplegable &quot;Tipo de Modelación&quot;"/>
    <s v="Desarrollo / Pestaña Desarrollo / modelos internos"/>
    <m/>
    <s v="RI_13-15-16-17_1"/>
    <s v="Al ingresar a la pantalla se cargan los datos que han sido guardados con anterioridad. Caso contrario no muestra ninguno"/>
    <s v="No"/>
    <s v="2026-02-05"/>
    <x v="0"/>
    <s v="OK"/>
  </r>
  <r>
    <x v="10"/>
    <s v="Registro Información"/>
    <s v="RI_13"/>
    <m/>
    <s v="RI_13: Agregar en la pestaña Desarrollo, el campo desplegable &quot;Tipo de Modelación&quot;"/>
    <s v="Desarrollo / Pestaña Desarrollo / modelos internos"/>
    <m/>
    <s v="RI_13-15-16-17_2"/>
    <s v="El campo &quot;Tipo de Modelación&quot; muestra las opciones: Tradicional, Caja Negra, Inteligencia Artificial y N/A"/>
    <s v="No"/>
    <s v="2026-02-05"/>
    <x v="0"/>
    <s v="OK"/>
  </r>
  <r>
    <x v="10"/>
    <s v="Registro Información"/>
    <s v="RI_13"/>
    <m/>
    <s v="RI_13: Agregar en la pestaña Desarrollo, el campo desplegable &quot;Tipo de Modelación&quot;"/>
    <s v="Desarrollo / Pestaña Desarrollo / modelos internos"/>
    <m/>
    <s v="RI_13-15-16-17_3"/>
    <s v="Los campos &quot;Tipo de Modelación&quot;, &quot;Periodo de Estudio&quot;, &quot;Universo&quot; y &quot;Variable Objetivo&quot; son obligatorios y se levanta una alerta en caso que se quiera guardar la información sin todos los campos completos"/>
    <s v="No"/>
    <s v="2026-02-05"/>
    <x v="0"/>
    <s v="OK"/>
  </r>
  <r>
    <x v="10"/>
    <s v="Registro Información"/>
    <s v="RI_13"/>
    <m/>
    <s v="RI_13: Agregar en la pestaña Desarrollo, el campo desplegable &quot;Tipo de Modelación&quot;"/>
    <s v="Desarrollo / Pestaña Desarrollo / modelos internos"/>
    <m/>
    <s v="RI_13-15-16-17_4"/>
    <s v="Los campos &quot;Periodo de Estudio&quot;, &quot;Universo&quot; y &quot;Variable Objetivo&quot; son textos enriquecidos"/>
    <s v="No"/>
    <s v="2026-02-11"/>
    <x v="0"/>
    <s v="OK"/>
  </r>
  <r>
    <x v="10"/>
    <s v="Registro Información"/>
    <s v="RI_14"/>
    <m/>
    <s v="Se debe generar el mantenedor para el campo Tipo de Modelación, con los siguientes valores: Tradicional, Machine Learning, Caja Negra, Inteligencia Artificial"/>
    <s v="Desarrollo / Pestaña Desarrollo / modelos internos"/>
    <m/>
    <s v="RI_14_1"/>
    <s v="El mantenedor debe permitir Agregar, Modificar y Eliminar lógicamente los Tipos de Modelación"/>
    <s v="No"/>
    <s v="2026-02-05"/>
    <x v="0"/>
    <s v="OK"/>
  </r>
  <r>
    <x v="10"/>
    <s v="Registro Información"/>
    <s v="RI_18"/>
    <m/>
    <s v="Cambiar el nombre de &quot;Dependencia&quot; a &quot;Relación de Modelos&quot;"/>
    <s v="Desarrollo / pestaña Información General / definicion de extension"/>
    <m/>
    <s v="RI_18"/>
    <s v="Confirmar cambio de nombre, correcta redacción y ubicación en pantalla"/>
    <s v="No"/>
    <s v="2026-03-0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1"/>
    <s v="Al ingresar a la pantalla se cargan todas las relaciones que han sido guardadas con anterioridad y el botón &quot;Relación de Modelos&quot; aparece activo"/>
    <s v="No"/>
    <s v="2026-02-24"/>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2"/>
    <s v="Si no existen relaciones guardadas, el botón &quot;Relación de Modelos&quot; aparece deshabilitado y los campos de relaciones quedan ocultos"/>
    <s v="No"/>
    <s v="2026-02-1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3"/>
    <s v="Si existen relaciones guardadas, y se desactiva el botón &quot;Relación de Modelos&quot;, el sistema presenta una alerta indicando que existen relaciones guardadas"/>
    <s v="No"/>
    <s v="2026-03-03"/>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4"/>
    <s v="La funcionalidad permite agregar N relaciones"/>
    <s v="No"/>
    <s v="2026-02-1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5"/>
    <s v="La funcionalidad permite modificar relaciones"/>
    <s v="No"/>
    <s v="2026-02-1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6"/>
    <s v="La funcionalidad permite eliminar relaciones"/>
    <s v="No"/>
    <s v="2026-02-1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7"/>
    <s v="La lista desplegable &quot;Tipo de Relación&quot; incluye 5 opciones: 1. Extensión de uso - Variables; 2. Extensión de uso - Modelos; 3. Ensamble; 4. Coexistencia; 5. Aplicación"/>
    <s v="No"/>
    <s v="2026-02-1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8"/>
    <s v="El campo &quot;Modelo Relacionado&quot; permite la búsqueda de modelos activos, mediante autocompletado, con la siguiente estructura: ID_Modelo-Versión + Nombre"/>
    <s v="No"/>
    <s v="2026-02-16"/>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9"/>
    <s v="Los campos &quot;Tipo de Relación&quot;, &quot;Modelo Relacionado&quot; y &quot;Descripción de Relación&quot; son obligatorios al momento de agregar una relación"/>
    <s v="No"/>
    <s v="2026-03-25"/>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10"/>
    <s v="y se levanta una alerta en caso que se quiera guardar la información sin todos los campos completos"/>
    <s v="No"/>
    <s v="2026-03-27"/>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11"/>
    <s v="Al guardar la página y estar activo el botón &quot;Relación de Modelos&quot;, debe levantarse una alerta solicitando el ingreso de una relación"/>
    <s v="No"/>
    <s v="2026-03-27"/>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12"/>
    <s v="La consulta de Modelos Relacionados no debe mostrar:"/>
    <s v="Si"/>
    <s v="2026-03-02"/>
    <x v="0"/>
    <s v="OK"/>
  </r>
  <r>
    <x v="10"/>
    <s v="Registro Información"/>
    <s v="RI_19"/>
    <m/>
    <s v="RI_19: La &quot;Relación de Modelos&quot;, puede ser mas de 1, es por eso se debe habilitar el botón &quot;+&quot;, para poder agregar más campos con las filas correspondientes"/>
    <s v="Desarrollo / pestaña Información General /definicion de extension"/>
    <m/>
    <s v="RI_19-20-21-23-24_13"/>
    <s v="Al crear un modelo por 1era vez, el sistema permite el ingreso de relaciones"/>
    <s v="Si"/>
    <s v="2026-03-16"/>
    <x v="0"/>
    <s v="OK"/>
  </r>
  <r>
    <x v="10"/>
    <s v="Registro Información"/>
    <s v="RI_22"/>
    <m/>
    <s v="Se debe generar mantenedor para el campo Tipo de relación"/>
    <s v="Desarrollo / pestaña Información General /definicion de extension"/>
    <m/>
    <s v="RI_22_1"/>
    <s v="El mantenedor debe permitir Agregar, Modificar y Eliminar lógicamente los Tipos de Relación"/>
    <s v="No"/>
    <s v="2026-03-06"/>
    <x v="0"/>
    <s v="OK"/>
  </r>
  <r>
    <x v="10"/>
    <s v="Registro Información"/>
    <s v="RI_25"/>
    <m/>
    <s v="RI_25: Se deben unir las validaciones de desarrollo e implementación, en un sólo botón. Para los modelos en estado En Uso"/>
    <s v="Validación / Ciclo de Vida / Validaciones"/>
    <m/>
    <s v="RI_25-26-27-28-29_1"/>
    <s v="La nueva vista debe consolidar información de desarrollo y validación, diferenciadas por el &quot;origen&quot; para los modelos &quot;En Uso&quot;"/>
    <s v="No"/>
    <s v="2026-03-02"/>
    <x v="0"/>
    <s v="OK"/>
  </r>
  <r>
    <x v="10"/>
    <s v="Registro Información"/>
    <s v="RI_25"/>
    <m/>
    <s v="RI_25: Se deben unir las validaciones de desarrollo e implementación, en un sólo botón. Para los modelos en estado En Uso"/>
    <s v="Validación / Ciclo de Vida / Validaciones"/>
    <m/>
    <s v="RI_25-26-27-28-29_2"/>
    <s v="La columna &quot;origen&quot; muestra sólo los datos &quot;Desarrollo&quot;, &quot;Implementación&quot; y &quot;En Uso&quot;"/>
    <s v="No"/>
    <s v="2026-03-02"/>
    <x v="0"/>
    <s v="OK"/>
  </r>
  <r>
    <x v="10"/>
    <s v="Registro Información"/>
    <s v="RI_25"/>
    <m/>
    <s v="RI_25: Se deben unir las validaciones de desarrollo e implementación, en un sólo botón. Para los modelos en estado En Uso"/>
    <s v="Validación / Ciclo de Vida / Validaciones"/>
    <m/>
    <s v="RI_25-26-27-28-29_3"/>
    <s v="La columna &quot;Objetivo Validación&quot; muestra sólo datos &quot;Nuevo Desarrollo de Modelo&quot;, &quot;Modificación a un Modelo Existente&quot;, &quot;Validación Continua&quot;, &quot;Integración en la Gestión&quot; y &quot;Seguimiento&quot;"/>
    <s v="No"/>
    <s v="2026-03-02"/>
    <x v="0"/>
    <s v="OK"/>
  </r>
  <r>
    <x v="10"/>
    <s v="Registro Información"/>
    <s v="RI_25"/>
    <m/>
    <s v="RI_25: Se deben unir las validaciones de desarrollo e implementación, en un sólo botón. Para los modelos en estado En Uso"/>
    <s v="Validación / Ciclo de Vida / Validaciones"/>
    <m/>
    <s v="RI_25-26-27-28-29_4"/>
    <s v="El botón &quot;+ Validación continua&quot; se muestra como &quot;+ Validación&quot; y se elimina la + Validación extraordinaria"/>
    <s v="No"/>
    <s v="2026-02-05"/>
    <x v="0"/>
    <s v="OK"/>
  </r>
  <r>
    <x v="10"/>
    <s v="Registro Información"/>
    <s v="RI_25"/>
    <m/>
    <s v="RI_25: Se deben unir las validaciones de desarrollo e implementación, en un sólo botón. Para los modelos en estado En Uso"/>
    <s v="Validación / Ciclo de Vida / Validaciones"/>
    <m/>
    <s v="RI_25-26-27-28-29_5"/>
    <s v="El campo de &quot;ID Validación&quot; redirige a la pantalla de Desarrollo o Validación según corresponda el origen"/>
    <s v="No"/>
    <s v="2026-03-06"/>
    <x v="0"/>
    <s v="OK"/>
  </r>
  <r>
    <x v="10"/>
    <s v="Registro Información"/>
    <s v="RI_25"/>
    <m/>
    <s v="RI_25: Se deben unir las validaciones de desarrollo e implementación, en un sólo botón. Para los modelos en estado En Uso"/>
    <s v="Validación / Ciclo de Vida / Validaciones"/>
    <m/>
    <s v="RI_25-26-27-28-29_6"/>
    <s v="La nota y el estado son coincidentes con los datos de las etapas Desarrollo y Validación según corresponda"/>
    <s v="No"/>
    <s v="2026-03-06"/>
    <x v="0"/>
    <s v="OK"/>
  </r>
  <r>
    <x v="10"/>
    <s v="Registro Información"/>
    <s v="RI_25"/>
    <m/>
    <s v="RI_25: Se deben unir las validaciones de desarrollo e implementación, en un sólo botón. Para los modelos en estado En Uso"/>
    <s v="Validación / Ciclo de Vida / Validaciones"/>
    <m/>
    <s v="RI_25-26-27-28-29_7"/>
    <s v="Confirmar cambio de nombre, correcta redacción y ubicación en pantalla para los campos:"/>
    <s v="No"/>
    <s v="2026-02-05"/>
    <x v="0"/>
    <s v="OK"/>
  </r>
  <r>
    <x v="10"/>
    <s v="Registro Información"/>
    <s v="RI_25"/>
    <m/>
    <s v="RI_25: Se deben unir las validaciones de desarrollo e implementación, en un sólo botón. Para los modelos en estado En Uso"/>
    <s v="Validación / Ciclo de Vida / Validaciones"/>
    <m/>
    <s v="RI_25-26-27-28-29_8"/>
    <s v="La fecha de solicitud es la fecha de creación del registro"/>
    <s v="No"/>
    <s v="2026-03-06"/>
    <x v="0"/>
    <s v="OK"/>
  </r>
  <r>
    <x v="10"/>
    <s v="Registro Información"/>
    <s v="RI_25"/>
    <m/>
    <s v="RI_25: Se deben unir las validaciones de desarrollo e implementación, en un sólo botón. Para los modelos en estado En Uso"/>
    <s v="Validación / Ciclo de Vida / Validaciones"/>
    <m/>
    <s v="RI_25-26-27-28-29_9"/>
    <s v="El botón &quot;Eliminar&quot; permite la eliminación del registro ingresado"/>
    <s v="No"/>
    <s v="2026-03-06"/>
    <x v="0"/>
    <s v="OK"/>
  </r>
  <r>
    <x v="10"/>
    <s v="Registro Información"/>
    <s v="RI_25"/>
    <m/>
    <s v="RI_25: Se deben unir las validaciones de desarrollo e implementación, en un sólo botón. Para los modelos en estado En Uso"/>
    <s v="Validación / Ciclo de Vida / Validaciones"/>
    <m/>
    <s v="RI_25-26-27-28-29_10"/>
    <s v="Previo a la eliminación del registro de validación, la funcionalidad debe solicitar al usuario su confirmación"/>
    <s v="No"/>
    <s v="2026-03-02"/>
    <x v="0"/>
    <s v="OK"/>
  </r>
  <r>
    <x v="10"/>
    <s v="Registro Información"/>
    <s v="RI_30"/>
    <m/>
    <s v="Para la ventana de Validaciones adicionales, se le debe cambiar el nombre al formulario por &quot;Validaciones&quot;"/>
    <s v="Validación / Ciclo de Vida / Validaciones"/>
    <m/>
    <s v="RI_30_1"/>
    <s v="Confirmar cambio de nombre, correcta redacción y ubicación en pantalla"/>
    <s v="No"/>
    <s v="2026-02-05"/>
    <x v="0"/>
    <s v="OK"/>
  </r>
  <r>
    <x v="10"/>
    <s v="Registro Información"/>
    <s v="RI_31"/>
    <m/>
    <s v="La sección de Gobierno del formulario de validaciones se debe eliminar"/>
    <s v="Validación / Ciclo de Vida / Validaciones"/>
    <m/>
    <s v="RI_31_1"/>
    <s v="Confirmar eliminación de sección de gobierno"/>
    <s v="No"/>
    <s v="2026-02-05"/>
    <x v="0"/>
    <s v="OK"/>
  </r>
  <r>
    <x v="10"/>
    <s v="Registro Información"/>
    <s v="RI_31"/>
    <m/>
    <s v="La sección de Gobierno del formulario de validaciones se debe eliminar"/>
    <s v="Validación / Ciclo de Vida / Validaciones"/>
    <m/>
    <s v="RI_31_2"/>
    <s v="Las operaciones de carga y guardado de información no se ven impactadas por la eliminación de la sección de gobierno"/>
    <s v="No"/>
    <s v="2026-03-30"/>
    <x v="0"/>
    <s v="OK"/>
  </r>
  <r>
    <x v="10"/>
    <s v="Registro Información"/>
    <s v="RI_32"/>
    <m/>
    <s v="RI_32: Se le debe cambiar el nombre a la funcionalidad de la asignación de informes al modelo por &quot;Detalle Informe Validación&quot;"/>
    <s v="Validación / Ciclo de Vida / Validaciones"/>
    <m/>
    <s v="RI_32-33-34-35-36_1"/>
    <s v="Confirmar cambio de nombre, correcta redacción y ubicación en pantalla del Título &quot;Detalle Informe Validación&quot;"/>
    <s v="No"/>
    <s v="2026-03-02"/>
    <x v="0"/>
    <s v="OK"/>
  </r>
  <r>
    <x v="10"/>
    <s v="Registro Información"/>
    <s v="RI_32"/>
    <m/>
    <s v="RI_32: Se le debe cambiar el nombre a la funcionalidad de la asignación de informes al modelo por &quot;Detalle Informe Validación&quot;"/>
    <s v="Validación / Ciclo de Vida / Validaciones"/>
    <m/>
    <s v="RI_32-33-34-35-36_2"/>
    <s v="Se deben mostrar todos los informes donde haya sido mencionado el modelo (llave ID-Versión-Subnivel3) y precargar el último informe"/>
    <s v="No"/>
    <s v="2026-03-16"/>
    <x v="0"/>
    <s v="OK"/>
  </r>
  <r>
    <x v="10"/>
    <s v="Registro Información"/>
    <s v="RI_32"/>
    <m/>
    <s v="RI_32: Se le debe cambiar el nombre a la funcionalidad de la asignación de informes al modelo por &quot;Detalle Informe Validación&quot;"/>
    <s v="Validación / Ciclo de Vida / Validaciones"/>
    <m/>
    <s v="RI_32-33-34-35-36_3"/>
    <s v="Permite seleccionar fechas pasadas limitando a la fecha de creación del modelo"/>
    <s v="No"/>
    <s v="2026-03-02"/>
    <x v="0"/>
    <s v="OK"/>
  </r>
  <r>
    <x v="10"/>
    <s v="Registro Información"/>
    <s v="RI_32"/>
    <m/>
    <s v="RI_32: Se le debe cambiar el nombre a la funcionalidad de la asignación de informes al modelo por &quot;Detalle Informe Validación&quot;"/>
    <s v="Validación / Ciclo de Vida / Validaciones"/>
    <m/>
    <s v="RI_32-33-34-35-36_4"/>
    <s v="Confirmar eliminación del campo &quot;Fecha Próxima Validación&quot;"/>
    <s v="No"/>
    <s v="2026-03-02"/>
    <x v="0"/>
    <s v="OK"/>
  </r>
  <r>
    <x v="10"/>
    <s v="Registro Información"/>
    <s v="RI_32"/>
    <m/>
    <s v="RI_32: Se le debe cambiar el nombre a la funcionalidad de la asignación de informes al modelo por &quot;Detalle Informe Validación&quot;"/>
    <s v="Validación / Ciclo de Vida / Validaciones"/>
    <m/>
    <s v="RI_32-33-34-35-36_5"/>
    <s v="Las operaciones de carga y guardado de información no se ven impactadas por la eliminación del campo &quot;Fecha Próxima Validación&quot;"/>
    <s v="No"/>
    <s v="2026-03-02"/>
    <x v="0"/>
    <s v="OK"/>
  </r>
  <r>
    <x v="10"/>
    <s v="Registro Información"/>
    <s v="RI_37"/>
    <m/>
    <s v="Para el formulario de Implementación se añaden nuevos campos: “Servidor”, “Base de datos”, “Esquema”, “otros” y “Responsable” todos estos campos tendrán opciones por mantenedor (a excepción de “otros”.)"/>
    <s v="Implementación e Implementación Adicional  / nombre base de dato"/>
    <m/>
    <s v="RI_37_1"/>
    <s v="Al ingresar a la pantalla se cargan todas las topologías que han sido guardadas con anterioridad"/>
    <s v="No"/>
    <s v="2026-04-29"/>
    <x v="0"/>
    <s v="OK"/>
  </r>
  <r>
    <x v="10"/>
    <s v="Registro Información"/>
    <s v="RI_37"/>
    <m/>
    <s v="Para el formulario de Implementación se añaden nuevos campos: “Servidor”, “Base de datos”, “Esquema”, “otros” y “Responsable” todos estos campos tendrán opciones por mantenedor (a excepción de “otros”.)"/>
    <s v="Implementación e Implementación Adicional  / nombre base de dato"/>
    <m/>
    <s v="RI_37_2"/>
    <s v="La funcionalidad permite agregar N topologías"/>
    <s v="No"/>
    <s v="2026-03-10"/>
    <x v="0"/>
    <s v="OK"/>
  </r>
  <r>
    <x v="10"/>
    <s v="Registro Información"/>
    <s v="RI_37"/>
    <m/>
    <s v="Para el formulario de Implementación se añaden nuevos campos: “Servidor”, “Base de datos”, “Esquema”, “otros” y “Responsable” todos estos campos tendrán opciones por mantenedor (a excepción de “otros”.)"/>
    <s v="Implementación e Implementación Adicional  / nombre base de dato"/>
    <m/>
    <s v="RI_37_3"/>
    <s v="La funcionalidad permite modificar topologías"/>
    <s v="No"/>
    <s v="2026-03-10"/>
    <x v="0"/>
    <s v="OK"/>
  </r>
  <r>
    <x v="10"/>
    <s v="Registro Información"/>
    <s v="RI_37"/>
    <m/>
    <s v="Para el formulario de Implementación se añaden nuevos campos: “Servidor”, “Base de datos”, “Esquema”, “otros” y “Responsable” todos estos campos tendrán opciones por mantenedor (a excepción de “otros”.)"/>
    <s v="Implementación e Implementación Adicional  / nombre base de dato"/>
    <m/>
    <s v="RI_37_4"/>
    <s v="La funcionalidad permite eliminar topologías"/>
    <s v="No"/>
    <s v="2026-03-10"/>
    <x v="0"/>
    <s v="OK"/>
  </r>
  <r>
    <x v="10"/>
    <s v="Registro Información"/>
    <s v="RI_37"/>
    <m/>
    <s v="Para el formulario de Implementación se añaden nuevos campos: “Servidor”, “Base de datos”, “Esquema”, “otros” y “Responsable” todos estos campos tendrán opciones por mantenedor (a excepción de “otros”.)"/>
    <s v="Implementación e Implementación Adicional  / nombre base de dato"/>
    <m/>
    <s v="RI_37_5"/>
    <s v="Todos los campos son obligatorios y se levanta una alerta en caso que no hayan sido completados"/>
    <s v="No"/>
    <s v="2026-03-27"/>
    <x v="0"/>
    <s v="OK"/>
  </r>
  <r>
    <x v="10"/>
    <s v="Registro Información"/>
    <s v="RI_38"/>
    <m/>
    <s v="Agregar responsable de la base exposición. Debe aparecer un cuadro para identificar el área de la misma forma que se hace para los otros responsables (Desarrollador, implementador, etc)"/>
    <s v="Implementación e Implementación Adicional  / responsable del dato"/>
    <m/>
    <s v="RI_38_1"/>
    <s v="El campo &quot;Responsable de la Base de Exposición&quot;, permite la búsqueda por medio de la funcionalidad actual del sistema (jerarquía)"/>
    <s v="No"/>
    <s v="2026-02-11"/>
    <x v="0"/>
    <s v="OK"/>
  </r>
  <r>
    <x v="10"/>
    <s v="Registro Información"/>
    <s v="RI_38"/>
    <m/>
    <s v="Agregar responsable de la base exposición. Debe aparecer un cuadro para identificar el área de la misma forma que se hace para los otros responsables (Desarrollador, implementador, etc)"/>
    <s v="Implementación e Implementación Adicional  / responsable del dato"/>
    <m/>
    <s v="RI_38_2"/>
    <s v="En campo es obligatorio y levanta un mensaje de alerta si está vacío"/>
    <s v="No"/>
    <s v="2026-03-27"/>
    <x v="0"/>
    <s v="OK"/>
  </r>
  <r>
    <x v="10"/>
    <s v="Registro Información"/>
    <s v="RI_39"/>
    <m/>
    <s v="RI_39: Agregar responsable de explotación. Debe aparecer un cuadro para identificar el área de la misma forma que se hace para los otros responsables (Desarrollador, implementador, etc)"/>
    <s v="Implementación e Implementación Adicional  / responsable de la explotacion"/>
    <m/>
    <s v="RI_39-40_1"/>
    <s v="El campo &quot;Responsable de Explotación&quot;, permite la búsqueda por medio de la funcionalidad actual del sistema (jerarquía)"/>
    <s v="No"/>
    <s v="2026-03-09"/>
    <x v="0"/>
    <s v="OK"/>
  </r>
  <r>
    <x v="10"/>
    <s v="Registro Información"/>
    <s v="RI_39"/>
    <m/>
    <s v="RI_39: Agregar responsable de explotación. Debe aparecer un cuadro para identificar el área de la misma forma que se hace para los otros responsables (Desarrollador, implementador, etc)"/>
    <s v="Implementación e Implementación Adicional  / responsable de la explotacion"/>
    <m/>
    <s v="RI_39-40_2"/>
    <s v="La lista desplegable &quot;Periodicidad de Explotación&quot; incluye 5 opciones: 1. Diaria; 2. Semanal; 3. Quincenal; 4. Mensual; 5. Anual"/>
    <s v="No"/>
    <s v="2026-03-09"/>
    <x v="0"/>
    <s v="OK"/>
  </r>
  <r>
    <x v="10"/>
    <s v="Registro Información"/>
    <s v="RI_39"/>
    <m/>
    <s v="RI_39: Agregar responsable de explotación. Debe aparecer un cuadro para identificar el área de la misma forma que se hace para los otros responsables (Desarrollador, implementador, etc)"/>
    <s v="Implementación e Implementación Adicional  / responsable de la explotacion"/>
    <m/>
    <s v="RI_39-40_3"/>
    <s v="El campo &quot;Otra Periodicidad&quot; se muestra bloqueado y se habilita una vez que se selecciona &quot;Otra Periodicidad&quot; desde la lista desplegable &quot;Periodicidad de Explotación&quot;"/>
    <s v="No"/>
    <s v="2026-04-23"/>
    <x v="0"/>
    <s v="OK"/>
  </r>
  <r>
    <x v="10"/>
    <s v="Registro Información"/>
    <s v="RI_39"/>
    <m/>
    <s v="RI_39: Agregar responsable de explotación. Debe aparecer un cuadro para identificar el área de la misma forma que se hace para los otros responsables (Desarrollador, implementador, etc)"/>
    <s v="Implementación e Implementación Adicional  / responsable de la explotacion"/>
    <m/>
    <s v="RI_39-40_4"/>
    <s v="Si en la  &quot;Periodicidad de Explotación&quot; está seleccionada &quot;Otra Periodicidad&quot; y el campo &quot;Otra Periodicidad&quot; está vacío, debe mostrarse un mensaje de alerta pidiendo el ingreso del dato"/>
    <s v="No"/>
    <s v="2026-03-09"/>
    <x v="0"/>
    <s v="OK"/>
  </r>
  <r>
    <x v="10"/>
    <s v="Registro Información"/>
    <s v="RI_39"/>
    <m/>
    <s v="RI_39: Agregar responsable de explotación. Debe aparecer un cuadro para identificar el área de la misma forma que se hace para los otros responsables (Desarrollador, implementador, etc)"/>
    <s v="Implementación e Implementación Adicional  / responsable de la explotacion"/>
    <m/>
    <s v="RI_39-40_5"/>
    <s v="Los campos &quot;Responsable de Explotación&quot;, &quot;Periodicidad de Explotación&quot; u &quot;Otra Periodicidad&quot; son obligatorios"/>
    <s v="No"/>
    <s v="2026-03-09"/>
    <x v="0"/>
    <s v="OK"/>
  </r>
  <r>
    <x v="10"/>
    <s v="Registro Información"/>
    <s v="RI_41"/>
    <m/>
    <s v="Se debe agregar al mantenedor la lista de las periodicidades"/>
    <s v="Implementación e Implementación Adicional  / responsable de la explotacion - mantenedor"/>
    <m/>
    <s v="RI_41_1"/>
    <s v="El mantenedor debe permitir Agregar, Modificar y Eliminar lógicamente la lista de periodicidad"/>
    <s v="No"/>
    <s v="2026-02-24"/>
    <x v="0"/>
    <s v="OK"/>
  </r>
  <r>
    <x v="10"/>
    <s v="Registro Información"/>
    <s v="RI_42"/>
    <m/>
    <s v="RI_42: Agregar el campo &quot;Relación de Modelos&quot;"/>
    <s v="Implementación e Implementación Adicional / tipo de relacion de modelos"/>
    <m/>
    <s v="RI_42-43-44-45_1"/>
    <s v="Al ingresar a la pantalla se cargan todas las relaciones que han sido guardadas con anterioridad y el botón &quot;Relación de Modelos&quot; aparece activo"/>
    <s v="No"/>
    <s v="2026-03-25"/>
    <x v="0"/>
    <s v="OK"/>
  </r>
  <r>
    <x v="10"/>
    <s v="Registro Información"/>
    <s v="RI_42"/>
    <m/>
    <s v="RI_42: Agregar el campo &quot;Relación de Modelos&quot;"/>
    <s v="Implementación e Implementación Adicional / tipo de relacion de modelos"/>
    <m/>
    <s v="RI_42-43-44-45_2"/>
    <s v="Si no existen relaciones guardadas, el botón &quot;Relación de Modelos&quot; aparece deshabilitado y los campos de relaciones quedan ocultos"/>
    <s v="No"/>
    <s v="2026-03-25"/>
    <x v="0"/>
    <s v="OK"/>
  </r>
  <r>
    <x v="10"/>
    <s v="Registro Información"/>
    <s v="RI_42"/>
    <m/>
    <s v="RI_42: Agregar el campo &quot;Relación de Modelos&quot;"/>
    <s v="Implementación e Implementación Adicional / tipo de relacion de modelos"/>
    <m/>
    <s v="RI_42-43-44-45_3"/>
    <s v="Si existen relaciones guardadas, y se desactiva el botón &quot;Relación de Modelos&quot;, el sistema presenta una alerta indicando que existen relaciones guardadas"/>
    <s v="No"/>
    <s v="2026-03-09"/>
    <x v="0"/>
    <s v="OK"/>
  </r>
  <r>
    <x v="10"/>
    <s v="Registro Información"/>
    <s v="RI_42"/>
    <m/>
    <s v="RI_42: Agregar el campo &quot;Relación de Modelos&quot;"/>
    <s v="Implementación e Implementación Adicional / tipo de relacion de modelos"/>
    <m/>
    <s v="RI_42-43-44-45_4"/>
    <s v="La funcionalidad permite agregar N relaciones"/>
    <s v="No"/>
    <s v="2026-02-09"/>
    <x v="0"/>
    <s v="OK"/>
  </r>
  <r>
    <x v="10"/>
    <s v="Registro Información"/>
    <s v="RI_42"/>
    <m/>
    <s v="RI_42: Agregar el campo &quot;Relación de Modelos&quot;"/>
    <s v="Implementación e Implementación Adicional / tipo de relacion de modelos"/>
    <m/>
    <s v="RI_42-43-44-45_5"/>
    <s v="La funcionalidad permite modificar relaciones"/>
    <s v="No"/>
    <s v="2026-02-09"/>
    <x v="0"/>
    <s v="OK"/>
  </r>
  <r>
    <x v="10"/>
    <s v="Registro Información"/>
    <s v="RI_42"/>
    <m/>
    <s v="RI_42: Agregar el campo &quot;Relación de Modelos&quot;"/>
    <s v="Implementación e Implementación Adicional / tipo de relacion de modelos"/>
    <m/>
    <s v="RI_42-43-44-45_6"/>
    <s v="La funcionalidad permite eliminar relaciones"/>
    <s v="No"/>
    <s v="2026-02-09"/>
    <x v="0"/>
    <s v="OK"/>
  </r>
  <r>
    <x v="10"/>
    <s v="Registro Información"/>
    <s v="RI_42"/>
    <m/>
    <s v="RI_42: Agregar el campo &quot;Relación de Modelos&quot;"/>
    <s v="Implementación e Implementación Adicional / tipo de relacion de modelos"/>
    <m/>
    <s v="RI_42-43-44-45_7"/>
    <s v="La lista desplegable &quot;Tipo de Relación&quot; incluye 5 opciones: 1. Extensión de uso - Variables; 2. Extensión de uso - Modelos; 3. Ensamble; 4. Coexistencia; 5. Aplicación"/>
    <s v="No"/>
    <s v="2026-02-09"/>
    <x v="0"/>
    <s v="OK"/>
  </r>
  <r>
    <x v="10"/>
    <s v="Registro Información"/>
    <s v="RI_42"/>
    <m/>
    <s v="RI_42: Agregar el campo &quot;Relación de Modelos&quot;"/>
    <s v="Implementación e Implementación Adicional / tipo de relacion de modelos"/>
    <m/>
    <s v="RI_42-43-44-45_8"/>
    <s v="El campo &quot;Modelo Relacionado&quot; permite la búsqueda de modelos activos, mediante autocompletado, con la siguiente estructura: ID_Modelo-Versión + Nombre"/>
    <s v="No"/>
    <s v="2026-03-27"/>
    <x v="0"/>
    <s v="OK"/>
  </r>
  <r>
    <x v="10"/>
    <s v="Registro Información"/>
    <s v="RI_42"/>
    <m/>
    <s v="RI_42: Agregar el campo &quot;Relación de Modelos&quot;"/>
    <s v="Implementación e Implementación Adicional / tipo de relacion de modelos"/>
    <m/>
    <s v="RI_42-43-44-45_9"/>
    <s v="Los campos &quot;Tipo de Relación&quot;, &quot;Modelo Relacionado&quot; y &quot;Descripción de Relación&quot; son obligatorios y se levanta una alerta en caso que se quiera guardar la información sin todos los campos completos"/>
    <s v="No"/>
    <s v="2026-03-27"/>
    <x v="0"/>
    <s v="OK"/>
  </r>
  <r>
    <x v="10"/>
    <s v="Registro Información"/>
    <s v="RI_42"/>
    <m/>
    <s v="RI_42: Agregar el campo &quot;Relación de Modelos&quot;"/>
    <s v="Implementación e Implementación Adicional / tipo de relacion de modelos"/>
    <m/>
    <s v="RI_42-43-44-45_10"/>
    <s v="Al guardar la página y estar activo el botón &quot;Relación de Modelos&quot;, debe levantarse una alerta solicitando el ingreso de una relación"/>
    <s v="No"/>
    <s v="2026-03-27"/>
    <x v="0"/>
    <s v="OK"/>
  </r>
  <r>
    <x v="10"/>
    <s v="Registro Información"/>
    <s v="RI_46"/>
    <m/>
    <s v="RI_46: Sólo al activarse el botón &quot;Integración Gestión&quot;, deben aparecer los campos de la integración gestión"/>
    <s v="Implementación e Implementación Adicional / integracion gestion"/>
    <m/>
    <s v="RI_46-47_1"/>
    <s v="Al ingresar a la plantalla se cargan todas las integraciones de gestión que han sido guardadas con anterioridad y el botón &quot;Integración Gestión&quot; aparece activo"/>
    <s v="No"/>
    <s v="2026-03-27"/>
    <x v="0"/>
    <s v="OK"/>
  </r>
  <r>
    <x v="10"/>
    <s v="Registro Información"/>
    <s v="RI_46"/>
    <m/>
    <s v="RI_46: Sólo al activarse el botón &quot;Integración Gestión&quot;, deben aparecer los campos de la integración gestión"/>
    <s v="Implementación e Implementación Adicional / integracion gestion"/>
    <m/>
    <s v="RI_46-47_2"/>
    <s v="Si no existen integraciones de gestión guardadas, el botón &quot;Integración Gestión&quot; aparece deshabilitado y el campos &quot;+&quot; y &quot;Descrpción Integración&quot; quedan ocultos"/>
    <s v="No"/>
    <s v="2026-03-09"/>
    <x v="0"/>
    <s v="OK"/>
  </r>
  <r>
    <x v="10"/>
    <s v="Registro Información"/>
    <s v="RI_46"/>
    <m/>
    <s v="RI_46: Sólo al activarse el botón &quot;Integración Gestión&quot;, deben aparecer los campos de la integración gestión"/>
    <s v="Implementación e Implementación Adicional / integracion gestion"/>
    <m/>
    <s v="RI_46-47_3"/>
    <s v="Si existen integraciones de gestión guardadas, y se desactiva el botón &quot;Integración Gestión&quot;, el sistema presenta una alerta indicando que existen integraciones guardadas"/>
    <s v="No"/>
    <s v="2026-03-09"/>
    <x v="0"/>
    <s v="OK"/>
  </r>
  <r>
    <x v="10"/>
    <s v="Registro Información"/>
    <s v="RI_46"/>
    <m/>
    <s v="RI_46: Sólo al activarse el botón &quot;Integración Gestión&quot;, deben aparecer los campos de la integración gestión"/>
    <s v="Implementación e Implementación Adicional / integracion gestion"/>
    <m/>
    <s v="RI_46-47_4"/>
    <s v="La funcionalidad permite agregar N integraciones de gestión"/>
    <s v="No"/>
    <s v="2026-03-09"/>
    <x v="0"/>
    <s v="OK"/>
  </r>
  <r>
    <x v="10"/>
    <s v="Registro Información"/>
    <s v="RI_46"/>
    <m/>
    <s v="RI_46: Sólo al activarse el botón &quot;Integración Gestión&quot;, deben aparecer los campos de la integración gestión"/>
    <s v="Implementación e Implementación Adicional / integracion gestion"/>
    <m/>
    <s v="RI_46-47_5"/>
    <s v="La funcionalidad permite modificar integraciones de gestión"/>
    <s v="No"/>
    <s v="2026-03-09"/>
    <x v="0"/>
    <s v="OK"/>
  </r>
  <r>
    <x v="10"/>
    <s v="Registro Información"/>
    <s v="RI_46"/>
    <m/>
    <s v="RI_46: Sólo al activarse el botón &quot;Integración Gestión&quot;, deben aparecer los campos de la integración gestión"/>
    <s v="Implementación e Implementación Adicional / integracion gestion"/>
    <m/>
    <s v="RI_46-47_6"/>
    <s v="La funcionalidad permite eliminar integraciones de gestión"/>
    <s v="No"/>
    <s v="2026-03-09"/>
    <x v="0"/>
    <s v="OK"/>
  </r>
  <r>
    <x v="10"/>
    <s v="Registro Información"/>
    <s v="RI_46"/>
    <m/>
    <s v="RI_46: Sólo al activarse el botón &quot;Integración Gestión&quot;, deben aparecer los campos de la integración gestión"/>
    <s v="Implementación e Implementación Adicional / integracion gestion"/>
    <m/>
    <s v="RI_46-47_7"/>
    <s v="El campos &quot;Descripción de Integración&quot;es obligatorio y se levanta una alerta en caso que se quiera guardar la información sin el campo completo"/>
    <s v="No"/>
    <s v="2026-03-27"/>
    <x v="0"/>
    <s v="OK"/>
  </r>
  <r>
    <x v="10"/>
    <s v="Registro Información"/>
    <s v="RI_46"/>
    <m/>
    <s v="RI_46: Sólo al activarse el botón &quot;Integración Gestión&quot;, deben aparecer los campos de la integración gestión"/>
    <s v="Implementación e Implementación Adicional / integracion gestion"/>
    <m/>
    <s v="RI_46-47_8"/>
    <s v="Al guardar la página y estar activo el botón &quot;Integración Gestión&quot; sin &quot;Descripciones de Integración&quot;, debe levantarse una alerta solicitando el ingreso de una relación"/>
    <s v="No"/>
    <s v="2026-03-18"/>
    <x v="0"/>
    <s v="OK"/>
  </r>
  <r>
    <x v="10"/>
    <s v="Registro Información"/>
    <s v="RI_48"/>
    <m/>
    <s v="El botón Ingresar Información Inventario dentro del módulo Registrar Información, debe llevar a la nueva funcionalidad de gobierno"/>
    <s v="Gobierno"/>
    <m/>
    <s v="RI_48_1"/>
    <s v="Confirmar la redirección al formulario de gobierno"/>
    <s v="No"/>
    <s v="2026-04-15"/>
    <x v="0"/>
    <s v="OK"/>
  </r>
  <r>
    <x v="10"/>
    <s v="Registro Información"/>
    <s v="RI_49"/>
    <m/>
    <s v="Al presionar al globo de Gobierno en el ciclo de vida del módulo Registrar Información,  se deben mostrar los gobiernos por lo que ha estado el modelo:"/>
    <s v="Gobierno"/>
    <m/>
    <s v="RI_49_1"/>
    <s v="Al ingresar a la pantalla se cargan todas las instancias y el tipo de instancia (Desarrollo o Implementación) por las que ha pasado el modelo. Además la Fecha de aprobación en la instancia correspondiente y si tuvo excepción o no (SI/NO)"/>
    <s v="No"/>
    <s v="2026-03-30"/>
    <x v="3"/>
    <s v="POST"/>
  </r>
  <r>
    <x v="10"/>
    <s v="Registro Información"/>
    <s v="RI_49"/>
    <m/>
    <s v="Al presionar al globo de Gobierno en el ciclo de vida del módulo Registrar Información,  se deben mostrar los gobiernos por lo que ha estado el modelo:"/>
    <s v="Gobierno"/>
    <m/>
    <s v="RI_49_2"/>
    <s v="Cuadratura: Las instancias de las etapas Desarrollo e Implementación coinciden con las que se muestran en la funcionalidad"/>
    <s v="No"/>
    <s v="2026-03-30"/>
    <x v="0"/>
    <s v="OK"/>
  </r>
  <r>
    <x v="10"/>
    <s v="Registro Información"/>
    <s v="RI_49"/>
    <m/>
    <s v="Al presionar al globo de Gobierno en el ciclo de vida del módulo Registrar Información,  se deben mostrar los gobiernos por lo que ha estado el modelo:"/>
    <s v="Gobierno"/>
    <m/>
    <s v="RI_49_3"/>
    <s v="Al presionar botón Acta &quot;+&quot;, la funcionalidad permite adjuntar archivos de forma opcional"/>
    <s v="No"/>
    <s v="2026-03-30"/>
    <x v="0"/>
    <s v="OK"/>
  </r>
  <r>
    <x v="10"/>
    <s v="Registro Información"/>
    <s v="RI_50"/>
    <m/>
    <s v="Se puede ingresar al formulario de En Uso una vez se active y este siempre se encuentra disponible sólo para revisores y Administrador"/>
    <s v="En Uso / Revisor"/>
    <m/>
    <s v="RI_50_1"/>
    <s v="El Formulario &quot;En Uso&quot; sólo se puede visualizar cuando la etapa esté activa"/>
    <s v="No"/>
    <s v="2026-02-05"/>
    <x v="0"/>
    <s v="OK"/>
  </r>
  <r>
    <x v="10"/>
    <s v="Registro Información"/>
    <s v="RI_51"/>
    <m/>
    <s v="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
    <s v="En Uso / Revisor"/>
    <m/>
    <s v="RI_51_1"/>
    <s v="Al ingresar a la pantalla, se cargan todos los responsables que han sido guardados con anterioridad en las etapas correspondientes"/>
    <s v="No"/>
    <s v="2026-03-20"/>
    <x v="0"/>
    <s v="OK"/>
  </r>
  <r>
    <x v="10"/>
    <s v="Registro Información"/>
    <s v="RI_51"/>
    <m/>
    <s v="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
    <s v="En Uso / Revisor"/>
    <m/>
    <s v="RI_51_2"/>
    <s v="El &quot;Responsable de Explotación&quot; muestra todos los registros provenientes de una carga inicial en excel"/>
    <s v="No"/>
    <m/>
    <x v="1"/>
    <s v="N/A"/>
  </r>
  <r>
    <x v="10"/>
    <s v="Registro Información"/>
    <s v="RI_51"/>
    <m/>
    <s v="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
    <s v="En Uso / Revisor"/>
    <m/>
    <s v="RI_51_3"/>
    <s v="La funcionalidad permite seleccionar Responsables desde el buscador de áreas"/>
    <s v="No"/>
    <s v="2026-02-17"/>
    <x v="0"/>
    <s v="OK"/>
  </r>
  <r>
    <x v="10"/>
    <s v="Registro Información"/>
    <s v="RI_51"/>
    <m/>
    <s v="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
    <s v="En Uso / Revisor"/>
    <m/>
    <s v="RI_51_4"/>
    <s v="La funcionalidad permite modificar Responsables desde el buscador de áreas"/>
    <s v="No"/>
    <s v="2026-02-17"/>
    <x v="0"/>
    <s v="OK"/>
  </r>
  <r>
    <x v="10"/>
    <s v="Registro Información"/>
    <s v="RI_51"/>
    <m/>
    <s v="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
    <s v="En Uso / Revisor"/>
    <m/>
    <s v="RI_51_5"/>
    <s v="La funcionalidad permite eliminar Responsables"/>
    <s v="No"/>
    <s v="2026-02-17"/>
    <x v="0"/>
    <s v="OK"/>
  </r>
  <r>
    <x v="10"/>
    <s v="Registro Información"/>
    <s v="RI_51"/>
    <m/>
    <s v="En el formulario En Uso deben aparecer todos las partes interesadas del modelo buscado. Estos campos siempre se deben poder modificar, agregar o eliminar: Propietarios, Desarrolladores, Implementadores, Responsable de explotación, Responsable del Dato, Responsable del Servidor, Validadores, Responsables de seguimiento."/>
    <s v="En Uso / Revisor"/>
    <m/>
    <s v="RI_51_6"/>
    <s v="Todos los campos de &quot;Responsables&quot; son obligatorios y se levanta una alerta en caso que se quiera guardar la información y falte alguno"/>
    <s v="No"/>
    <s v="2026-03-02"/>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1"/>
    <s v="Al ingresar a la pantalla se cargan todos los usos que hayan sido guardados con anterioridad o en etapas anteriores"/>
    <s v="No"/>
    <s v="2026-03-20"/>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2"/>
    <s v="Si no existen usos guardados, los campos Uso y Áreas quedan vacíos y disponibles para ingresar información"/>
    <s v="No"/>
    <s v="2026-02-11"/>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3"/>
    <s v="La funcionalidad permite agregar N Usos"/>
    <s v="No"/>
    <s v="2026-02-11"/>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4"/>
    <s v="La funcionalidad permite modificar Usos"/>
    <s v="No"/>
    <s v="2026-02-17"/>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5"/>
    <s v="La funcionalidad permite eliminar Usos"/>
    <s v="No"/>
    <s v="2026-02-11"/>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6"/>
    <s v="Si el modelo se envió a Revisión, el sistema no debe permitir Agregar/Modificar/Eliminar Usos"/>
    <s v="No"/>
    <s v="2026-03-30"/>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7"/>
    <s v="El campo Áreas Usuarias permite la búsqueda por medio de la funcionalidad actual del sistema"/>
    <s v="No"/>
    <s v="2026-02-11"/>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8"/>
    <s v="Los campos &quot;Uso&quot; y &quot;Areas&quot; son obligatorios y se levanta una alerta en caso que se quiera guardar la información sin los campos completos"/>
    <s v="No"/>
    <s v="2026-03-20"/>
    <x v="0"/>
    <s v="OK"/>
  </r>
  <r>
    <x v="10"/>
    <s v="Registro Información"/>
    <s v="RI_52"/>
    <m/>
    <s v="En el formulario En Uso deben aparecer el campo Usos, para añadir los N usos posibles que puede tener el modelo y un campo donde se asignen las áreas asociadas al uso. Debe venir precargado con los usos ingresados en el fomulario de Desarrollo"/>
    <s v="En Uso / Revisor"/>
    <m/>
    <s v="RI_52_9"/>
    <s v="Los otros datos del formulario no se ven afectados por la nueva funcionalidad de Usos"/>
    <s v="Si"/>
    <s v="2026-03-20"/>
    <x v="0"/>
    <s v="OK"/>
  </r>
  <r>
    <x v="10"/>
    <s v="Registro Información"/>
    <s v="RI_53"/>
    <m/>
    <s v="En el formulario En Uso deben aparecer un campo desplegable de ingreso múltiple para registrar los reportes normativos que genera el modelo"/>
    <s v="En Uso / Revisor"/>
    <m/>
    <s v="RI_53_1"/>
    <s v="Al ingresar a la pantalla se cargan todos los reportes que hayan sido guardados con anterioridad"/>
    <s v="No"/>
    <s v="2026-03-20"/>
    <x v="0"/>
    <s v="OK"/>
  </r>
  <r>
    <x v="10"/>
    <s v="Registro Información"/>
    <s v="RI_53"/>
    <m/>
    <s v="En el formulario En Uso deben aparecer un campo desplegable de ingreso múltiple para registrar los reportes normativos que genera el modelo"/>
    <s v="En Uso / Revisor"/>
    <m/>
    <s v="RI_53_2"/>
    <s v="Si no existen reportes guardados, el campo queda vacíos y disponible para ingresar información"/>
    <s v="No"/>
    <s v="2026-03-13"/>
    <x v="0"/>
    <s v="OK"/>
  </r>
  <r>
    <x v="10"/>
    <s v="Registro Información"/>
    <s v="RI_53"/>
    <m/>
    <s v="En el formulario En Uso deben aparecer un campo desplegable de ingreso múltiple para registrar los reportes normativos que genera el modelo"/>
    <s v="En Uso / Revisor"/>
    <m/>
    <s v="RI_53_3"/>
    <s v="La funcionalidad permite agregar N Reportes"/>
    <s v="No"/>
    <s v="2026-03-27"/>
    <x v="0"/>
    <s v="OK"/>
  </r>
  <r>
    <x v="10"/>
    <s v="Registro Información"/>
    <s v="RI_53"/>
    <m/>
    <s v="En el formulario En Uso deben aparecer un campo desplegable de ingreso múltiple para registrar los reportes normativos que genera el modelo"/>
    <s v="En Uso / Revisor"/>
    <m/>
    <s v="RI_53_4"/>
    <s v="La funcionalidad permite modificar Reportes"/>
    <s v="No"/>
    <s v="2026-03-13"/>
    <x v="0"/>
    <s v="OK"/>
  </r>
  <r>
    <x v="10"/>
    <s v="Registro Información"/>
    <s v="RI_53"/>
    <m/>
    <s v="En el formulario En Uso deben aparecer un campo desplegable de ingreso múltiple para registrar los reportes normativos que genera el modelo"/>
    <s v="En Uso / Revisor"/>
    <m/>
    <s v="RI_53_5"/>
    <s v="La funcionalidad permite eliminar Reportes"/>
    <s v="No"/>
    <s v="2026-03-13"/>
    <x v="0"/>
    <s v="OK"/>
  </r>
  <r>
    <x v="10"/>
    <s v="Registro Información"/>
    <s v="RI_53"/>
    <m/>
    <s v="En el formulario En Uso deben aparecer un campo desplegable de ingreso múltiple para registrar los reportes normativos que genera el modelo"/>
    <s v="En Uso / Revisor"/>
    <m/>
    <s v="RI_53_6"/>
    <s v="La lista desplegable muestra todos los Reportes que han sido ingresados en el mantenedor"/>
    <s v="No"/>
    <s v="2026-03-13"/>
    <x v="0"/>
    <s v="OK"/>
  </r>
  <r>
    <x v="10"/>
    <s v="Registro Información"/>
    <s v="RI_53"/>
    <m/>
    <s v="En el formulario En Uso deben aparecer un campo desplegable de ingreso múltiple para registrar los reportes normativos que genera el modelo"/>
    <s v="En Uso / Revisor"/>
    <m/>
    <s v="RI_53_7"/>
    <s v="La selección de la lista desplegable &quot;Reporte Normativo&quot; es opcional"/>
    <s v="No"/>
    <s v="2026-03-13"/>
    <x v="0"/>
    <s v="OK"/>
  </r>
  <r>
    <x v="10"/>
    <s v="Registro Información"/>
    <s v="RI_54"/>
    <m/>
    <s v="Se debe generar el mantenedor para la lista de los reportes normativoss"/>
    <s v="En Uso / Revisor / Reportes Normativos - Mantenedor"/>
    <m/>
    <s v="RI_54_1"/>
    <s v="El mantenedor debe permitir Agregar, Modificar y Eliminar lógicamente la lista de reportes normativos"/>
    <s v="No"/>
    <s v="2026-03-20"/>
    <x v="0"/>
    <s v="OK"/>
  </r>
  <r>
    <x v="10"/>
    <s v="Registro Información"/>
    <s v="RI_55"/>
    <m/>
    <s v="RI_55: En el formulario En Uso deben aparecer Relación con Otro Modelo, proveniente de los formulario de Desarrollo y de Implementación."/>
    <s v="En Uso / Revisor"/>
    <m/>
    <s v="RI_55-56-57-58-59_1"/>
    <s v="Al ingresar a la pantalla se cargan todas las relaciones que han sido guardadas con anterioridad y el botón &quot;Relación de Modelos&quot; aparece activo"/>
    <s v="No"/>
    <s v="2026-03-30"/>
    <x v="0"/>
    <s v="OK"/>
  </r>
  <r>
    <x v="10"/>
    <s v="Registro Información"/>
    <s v="RI_55"/>
    <m/>
    <s v="RI_55: En el formulario En Uso deben aparecer Relación con Otro Modelo, proveniente de los formulario de Desarrollo y de Implementación."/>
    <s v="En Uso / Revisor"/>
    <m/>
    <s v="RI_55-56-57-58-59_2"/>
    <s v="Si no existen relaciones guardadas, el botón &quot;Relación de Modelos&quot; aparece deshabilitado y los campos de relaciones quedan ocultos"/>
    <s v="No"/>
    <s v="2026-03-20"/>
    <x v="0"/>
    <s v="OK"/>
  </r>
  <r>
    <x v="10"/>
    <s v="Registro Información"/>
    <s v="RI_55"/>
    <m/>
    <s v="RI_55: En el formulario En Uso deben aparecer Relación con Otro Modelo, proveniente de los formulario de Desarrollo y de Implementación."/>
    <s v="En Uso / Revisor"/>
    <m/>
    <s v="RI_55-56-57-58-59_3"/>
    <s v="Si existen relaciones guardadas, y se desactiva el botón &quot;Relación de Modelos&quot;, el sistema presenta una alerta indicando que existen relaciones guardadas"/>
    <s v="No"/>
    <s v="2026-02-17"/>
    <x v="0"/>
    <s v="OK"/>
  </r>
  <r>
    <x v="10"/>
    <s v="Registro Información"/>
    <s v="RI_55"/>
    <m/>
    <s v="RI_55: En el formulario En Uso deben aparecer Relación con Otro Modelo, proveniente de los formulario de Desarrollo y de Implementación."/>
    <s v="En Uso / Revisor"/>
    <m/>
    <s v="RI_55-56-57-58-59_4"/>
    <s v="La funcionalidad permite agregar N relaciones"/>
    <s v="No"/>
    <s v="2026-02-17"/>
    <x v="0"/>
    <s v="OK"/>
  </r>
  <r>
    <x v="10"/>
    <s v="Registro Información"/>
    <s v="RI_55"/>
    <m/>
    <s v="RI_55: En el formulario En Uso deben aparecer Relación con Otro Modelo, proveniente de los formulario de Desarrollo y de Implementación."/>
    <s v="En Uso / Revisor"/>
    <m/>
    <s v="RI_55-56-57-58-59_5"/>
    <s v="La funcionalidad permite modificar relaciones"/>
    <s v="No"/>
    <s v="2026-02-17"/>
    <x v="0"/>
    <s v="OK"/>
  </r>
  <r>
    <x v="10"/>
    <s v="Registro Información"/>
    <s v="RI_55"/>
    <m/>
    <s v="RI_55: En el formulario En Uso deben aparecer Relación con Otro Modelo, proveniente de los formulario de Desarrollo y de Implementación."/>
    <s v="En Uso / Revisor"/>
    <m/>
    <s v="RI_55-56-57-58-59_6"/>
    <s v="La funcionalidad permite eliminar relaciones"/>
    <s v="No"/>
    <s v="2026-02-17"/>
    <x v="0"/>
    <s v="OK"/>
  </r>
  <r>
    <x v="10"/>
    <s v="Registro Información"/>
    <s v="RI_55"/>
    <m/>
    <s v="RI_55: En el formulario En Uso deben aparecer Relación con Otro Modelo, proveniente de los formulario de Desarrollo y de Implementación."/>
    <s v="En Uso / Revisor"/>
    <m/>
    <s v="RI_55-56-57-58-59_7"/>
    <s v="La lista desplegable &quot;Tipo de Relación&quot; incluye 5 opciones: 1. Extensión de uso - Variables; 2. Extensión de uso - Modelos; 3. Ensamble; 4. Coexistencia; 5. Aplicación"/>
    <s v="No"/>
    <s v="2026-02-17"/>
    <x v="0"/>
    <s v="OK"/>
  </r>
  <r>
    <x v="10"/>
    <s v="Registro Información"/>
    <s v="RI_55"/>
    <m/>
    <s v="RI_55: En el formulario En Uso deben aparecer Relación con Otro Modelo, proveniente de los formulario de Desarrollo y de Implementación."/>
    <s v="En Uso / Revisor"/>
    <m/>
    <s v="RI_55-56-57-58-59_8"/>
    <s v="El campo &quot;Modelo Relacionado&quot; permite la búsqueda de modelos activos, mediante autocompletado, con la siguiente estructura: ID_Modelo-Versión + Nombre"/>
    <s v="No"/>
    <s v="2026-03-20"/>
    <x v="0"/>
    <s v="OK"/>
  </r>
  <r>
    <x v="10"/>
    <s v="Registro Información"/>
    <s v="RI_55"/>
    <m/>
    <s v="RI_55: En el formulario En Uso deben aparecer Relación con Otro Modelo, proveniente de los formulario de Desarrollo y de Implementación."/>
    <s v="En Uso / Revisor"/>
    <m/>
    <s v="RI_55-56-57-58-59_9"/>
    <s v="Los campos &quot;Tipo de Relación&quot;, &quot;Modelo Relacionado&quot; y &quot;Descripción de Relación&quot; son obligatorios y se levanta una alerta en caso que se quiera guardar la información sin todos los campos completos"/>
    <s v="No"/>
    <s v="2026-03-03"/>
    <x v="0"/>
    <s v="OK"/>
  </r>
  <r>
    <x v="10"/>
    <s v="Registro Información"/>
    <s v="RI_55"/>
    <m/>
    <s v="RI_55: En el formulario En Uso deben aparecer Relación con Otro Modelo, proveniente de los formulario de Desarrollo y de Implementación."/>
    <s v="En Uso / Revisor"/>
    <m/>
    <s v="RI_55-56-57-58-59_10"/>
    <s v="Al guardar la página y estar activo el botón &quot;Relación de Modelos&quot;, debe levantarse una alerta solicitando el ingreso de una relación"/>
    <s v="No"/>
    <s v="2026-03-20"/>
    <x v="0"/>
    <s v="OK"/>
  </r>
  <r>
    <x v="10"/>
    <s v="Registro Información"/>
    <s v="RI_60"/>
    <m/>
    <s v="Campo de fecha de entrada en uso, si el modelo entra por primera vez en uso automáticamente se generan los formularios de control"/>
    <s v="En Uso / Revisor"/>
    <m/>
    <s v="RI_60_1"/>
    <s v="Si se completó la fecha de &quot;Entrada en uso&quot; en etapa de Gobierno o en etapa En Uso, debe precargarse y permitir modificarse"/>
    <s v="No"/>
    <s v="2026-03-18"/>
    <x v="1"/>
    <s v="N/A"/>
  </r>
  <r>
    <x v="10"/>
    <s v="Registro Información"/>
    <s v="RI_60"/>
    <m/>
    <s v="Campo de fecha de entrada en uso, si el modelo entra por primera vez en uso automáticamente se generan los formularios de control"/>
    <s v="En Uso / Revisor"/>
    <m/>
    <s v="RI_60_2"/>
    <s v="Si el modelo entra por primera vez en uso y coincide con la fecha de hoy, entonces automáticamente se generan los formularios de seguimiento"/>
    <s v="No"/>
    <s v="2026-03-18"/>
    <x v="1"/>
    <s v="N/A"/>
  </r>
  <r>
    <x v="10"/>
    <s v="Registro Información"/>
    <s v="RI_60"/>
    <m/>
    <s v="Campo de fecha de entrada en uso, si el modelo entra por primera vez en uso automáticamente se generan los formularios de control"/>
    <s v="En Uso / Revisor"/>
    <m/>
    <s v="RI_60_3"/>
    <s v="El campo permite seleccionar fechas pasadas limitando a la fecha de creación del modelo y la fecha actual"/>
    <s v="No"/>
    <s v="2026-02-17"/>
    <x v="1"/>
    <s v="N/A"/>
  </r>
  <r>
    <x v="10"/>
    <s v="Registro Información"/>
    <s v="RI_61"/>
    <m/>
    <s v="Se debe quitar la restricción de la caducidad que se debe contar con su paso por gobierno antes de cambiar de estado"/>
    <s v="Caducidad"/>
    <m/>
    <s v="RI_61_1"/>
    <s v="Modelo se puede caducar desde etapa &quot;En Uso&quot; sin que haya pasado por etapa de &quot;Gobierno&quot;"/>
    <s v="No"/>
    <s v="2026-03-30"/>
    <x v="0"/>
    <s v="OK"/>
  </r>
  <r>
    <x v="10"/>
    <s v="Registro Información"/>
    <s v="RI_61"/>
    <m/>
    <s v="Se debe quitar la restricción de la caducidad que se debe contar con su paso por gobierno antes de cambiar de estado"/>
    <s v="Caducidad"/>
    <m/>
    <s v="RI_61_2"/>
    <s v="Modelo se puede caducar desde etapa &quot;En Uso&quot; aun cuando haya pasado por etapa de &quot;Gobierno&quot;"/>
    <s v="No"/>
    <s v="2026-03-30"/>
    <x v="0"/>
    <s v="OK"/>
  </r>
  <r>
    <x v="10"/>
    <s v="Registro Información"/>
    <s v="RI_62"/>
    <m/>
    <s v="Al momento de caducar un modelo, que aparezca un pop-up alertando acerca de observaciones que estén vigentes: 1. Observaciones de validación; 2. Observaciones de incidencias; 3. Observaciones de Seguimiento; 4. Observaciones de Control; 5. Observaciones del Auditor y Regulador"/>
    <s v="Caducidad"/>
    <m/>
    <s v="RI_62_1"/>
    <s v="La pantalla no muestra mensajes de alerta en caso que las observaciones vigentes estén cerradas o solucionadas"/>
    <s v="No"/>
    <s v="2026-04-24"/>
    <x v="0"/>
    <s v="OK"/>
  </r>
  <r>
    <x v="10"/>
    <s v="Registro Información"/>
    <s v="RI_62"/>
    <m/>
    <s v="Al momento de caducar un modelo, que aparezca un pop-up alertando acerca de observaciones que estén vigentes: 1. Observaciones de validación; 2. Observaciones de incidencias; 3. Observaciones de Seguimiento; 4. Observaciones de Control; 5. Observaciones del Auditor y Regulador"/>
    <s v="Caducidad"/>
    <m/>
    <s v="RI_62_2"/>
    <s v="Las observaciones vigentes (no cerradas y no solucionadas), registradas en cada etapa del ciclo de vida, son coincidentes con las observaciones listadas en la pantalla"/>
    <s v="No"/>
    <s v="2026-04-24"/>
    <x v="0"/>
    <s v="OK"/>
  </r>
  <r>
    <x v="10"/>
    <s v="Registro Información"/>
    <s v="RI_63"/>
    <m/>
    <s v="RI_63: Botón de Pausa en Etapas Activas"/>
    <s v="Registrar Información"/>
    <m/>
    <s v="RI_63-64-65-66-67_1"/>
    <s v="El botón &quot;Pausar&quot; está habilitado si en la línea de tiempo existe una o más etapas activas"/>
    <s v="No"/>
    <s v="2026-02-05"/>
    <x v="3"/>
    <s v="POST"/>
  </r>
  <r>
    <x v="10"/>
    <s v="Registro Información"/>
    <s v="RI_63"/>
    <m/>
    <s v="RI_63: Botón de Pausa en Etapas Activas"/>
    <s v="Registrar Información"/>
    <m/>
    <s v="RI_63-64-65-66-67_2"/>
    <s v="Si no existen etapas activas, el botón &quot;Pausar&quot; se encuentra desactivado"/>
    <s v="No"/>
    <s v="2026-02-05"/>
    <x v="3"/>
    <s v="POST"/>
  </r>
  <r>
    <x v="10"/>
    <s v="Registro Información"/>
    <s v="RI_63"/>
    <m/>
    <s v="RI_63: Botón de Pausa en Etapas Activas"/>
    <s v="Registrar Información"/>
    <m/>
    <s v="RI_63-64-65-66-67_3"/>
    <s v="Al presionar el botón &quot;Pausar&quot;, se abre la pantalla &quot;Gestión de Pausas&quot; y sus solicitudes históricas, que contiene el flujo actual de cambio de etapas y pausas, y los siguientes campos: &quot;ID Solicitud&quot; &quot;Modelo&quot;, &quot;Estado&quot;, &quot;Fecha&quot;, &quot;Pausado&quot; y &quot;Motivo Solicitud&quot;"/>
    <s v="No"/>
    <s v="2026-02-05"/>
    <x v="3"/>
    <s v="POST"/>
  </r>
  <r>
    <x v="10"/>
    <s v="Registro Información"/>
    <s v="RI_63"/>
    <m/>
    <s v="RI_63: Botón de Pausa en Etapas Activas"/>
    <s v="Registrar Información"/>
    <m/>
    <s v="RI_63-64-65-66-67_4"/>
    <s v="El historial del modelo no se ve afectado por los ajustes en la funcionalidad de &quot;Gestión de Pausas&quot;"/>
    <s v="No"/>
    <s v="2026-02-05"/>
    <x v="3"/>
    <s v="POST"/>
  </r>
  <r>
    <x v="10"/>
    <s v="Registro Información"/>
    <s v="RI_63"/>
    <m/>
    <s v="RI_63: Botón de Pausa en Etapas Activas"/>
    <s v="Registrar Información"/>
    <m/>
    <s v="RI_63-64-65-66-67_5"/>
    <s v="Al presionar el botón &quot;+ Nueva Solicitud&quot;, se abre el Formulario de solicitud de Pausas &quot;Gestión Pausas&quot;, que contiene los elementos:"/>
    <s v="No"/>
    <s v="2026-02-05"/>
    <x v="3"/>
    <s v="POST"/>
  </r>
  <r>
    <x v="10"/>
    <s v="Registro Información"/>
    <s v="RI_63"/>
    <m/>
    <s v="RI_63: Botón de Pausa en Etapas Activas"/>
    <s v="Registrar Información"/>
    <m/>
    <s v="RI_63-64-65-66-67_6"/>
    <s v="- Sección &quot;Modelo&quot;: &quot;Modelo&quot;, &quot;Estado actual&quot;, &quot;Pausado&quot;"/>
    <s v="No"/>
    <s v="2026-02-05"/>
    <x v="3"/>
    <s v="POST"/>
  </r>
  <r>
    <x v="10"/>
    <s v="Registro Información"/>
    <s v="RI_63"/>
    <m/>
    <s v="RI_63: Botón de Pausa en Etapas Activas"/>
    <s v="Registrar Información"/>
    <m/>
    <s v="RI_63-64-65-66-67_7"/>
    <s v="- Sección &quot;Solicitud&quot;: &quot;ID Solicitud&quot;. &quot;Fecha solicitud&quot;, &quot;Estado solicitud&quot;, Lista desplegable &quot;Etapa&quot;, switch &quot;Pausado&quot;, &quot;Motivo Solicitud&quot;, Adjuntar archivos &quot;Documentación&quot;, Botones &quot;Cancelar&quot; y &quot;Aplicar&quot;"/>
    <s v="No"/>
    <s v="2026-02-05"/>
    <x v="3"/>
    <s v="POST"/>
  </r>
  <r>
    <x v="10"/>
    <s v="Registro Información"/>
    <s v="RI_63"/>
    <m/>
    <s v="RI_63: Botón de Pausa en Etapas Activas"/>
    <s v="Registrar Información"/>
    <m/>
    <s v="RI_63-64-65-66-67_8"/>
    <s v="La funcionalidad del Formulario de solicitud de pausas no se ve afectado por la eliminación del campo &quot;Etapa actual&quot;"/>
    <s v="No"/>
    <s v="2026-02-05"/>
    <x v="3"/>
    <s v="POST"/>
  </r>
  <r>
    <x v="10"/>
    <s v="Registro Información"/>
    <s v="RI_63"/>
    <m/>
    <s v="RI_63: Botón de Pausa en Etapas Activas"/>
    <s v="Registrar Información"/>
    <m/>
    <s v="RI_63-64-65-66-67_9"/>
    <s v="La lista desplegable &quot;Etapa&quot; del Formulario de solicitud de Pausas, muestra sólo las etapas &quot;activas&quot; y &quot;pausadas&quot;"/>
    <s v="No"/>
    <s v="2026-02-05"/>
    <x v="3"/>
    <s v="POST"/>
  </r>
  <r>
    <x v="10"/>
    <s v="Registro Información"/>
    <s v="RI_63"/>
    <m/>
    <s v="RI_63: Botón de Pausa en Etapas Activas"/>
    <s v="Registrar Información"/>
    <m/>
    <s v="RI_63-64-65-66-67_10"/>
    <s v="Los campos dependientes entre sí, &quot;Etapa&quot; y Switch &quot;Pausado&quot;, operan según las siguientes casuísticas:"/>
    <s v="No"/>
    <s v="2026-02-05"/>
    <x v="3"/>
    <s v="POST"/>
  </r>
  <r>
    <x v="10"/>
    <s v="Registro Información"/>
    <s v="RI_63"/>
    <m/>
    <s v="RI_63: Botón de Pausa en Etapas Activas"/>
    <s v="Registrar Información"/>
    <m/>
    <s v="RI_63-64-65-66-67_11"/>
    <s v="- Switch Deshabilitado y Desactivado: En caso de seleccionar una etapa activa"/>
    <s v="No"/>
    <s v="2026-02-05"/>
    <x v="3"/>
    <s v="POST"/>
  </r>
  <r>
    <x v="10"/>
    <s v="Registro Información"/>
    <s v="RI_68"/>
    <m/>
    <s v="Habilitar Globo de Ayuda para Todos los Campos de la Herramienta"/>
    <s v="Todas las Vistas del Sistema"/>
    <m/>
    <s v="RI_68_1"/>
    <s v="Al pasar o posicionar el mouse sobre el ícono de ayuda, se despliega un modal con la descripción del campo a completar, con la misma tipografía del sistema y sin desborde del texto"/>
    <s v="No"/>
    <s v="2026-01-28"/>
    <x v="1"/>
    <s v="N/A"/>
  </r>
  <r>
    <x v="11"/>
    <m/>
    <m/>
    <m/>
    <m/>
    <m/>
    <m/>
    <m/>
    <m/>
    <m/>
    <m/>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F7AAC6-3427-4A1D-89E2-C033024D5F99}" name="TablaDinámica1" cacheId="3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5:H79" firstHeaderRow="1" firstDataRow="2" firstDataCol="1"/>
  <pivotFields count="13">
    <pivotField axis="axisRow" showAll="0">
      <items count="13">
        <item x="8"/>
        <item x="3"/>
        <item x="4"/>
        <item x="7"/>
        <item x="2"/>
        <item x="5"/>
        <item x="6"/>
        <item x="9"/>
        <item x="10"/>
        <item x="1"/>
        <item x="0"/>
        <item x="11"/>
        <item t="default"/>
      </items>
    </pivotField>
    <pivotField showAll="0"/>
    <pivotField showAll="0"/>
    <pivotField showAll="0"/>
    <pivotField showAll="0"/>
    <pivotField showAll="0"/>
    <pivotField showAll="0"/>
    <pivotField showAll="0"/>
    <pivotField showAll="0"/>
    <pivotField showAll="0"/>
    <pivotField showAll="0"/>
    <pivotField axis="axisCol" dataField="1" showAll="0">
      <items count="11">
        <item m="1" x="9"/>
        <item x="1"/>
        <item x="4"/>
        <item x="0"/>
        <item x="2"/>
        <item x="3"/>
        <item m="1" x="7"/>
        <item m="1" x="8"/>
        <item x="5"/>
        <item m="1" x="6"/>
        <item t="default"/>
      </items>
    </pivotField>
    <pivotField showAll="0"/>
  </pivotFields>
  <rowFields count="1">
    <field x="0"/>
  </rowFields>
  <rowItems count="13">
    <i>
      <x/>
    </i>
    <i>
      <x v="1"/>
    </i>
    <i>
      <x v="2"/>
    </i>
    <i>
      <x v="3"/>
    </i>
    <i>
      <x v="4"/>
    </i>
    <i>
      <x v="5"/>
    </i>
    <i>
      <x v="6"/>
    </i>
    <i>
      <x v="7"/>
    </i>
    <i>
      <x v="8"/>
    </i>
    <i>
      <x v="9"/>
    </i>
    <i>
      <x v="10"/>
    </i>
    <i>
      <x v="11"/>
    </i>
    <i t="grand">
      <x/>
    </i>
  </rowItems>
  <colFields count="1">
    <field x="11"/>
  </colFields>
  <colItems count="7">
    <i>
      <x v="1"/>
    </i>
    <i>
      <x v="2"/>
    </i>
    <i>
      <x v="3"/>
    </i>
    <i>
      <x v="4"/>
    </i>
    <i>
      <x v="5"/>
    </i>
    <i>
      <x v="8"/>
    </i>
    <i t="grand">
      <x/>
    </i>
  </colItems>
  <dataFields count="1">
    <dataField name="Cuenta de Resultado" fld="11" subtotal="count" baseField="0" baseItem="0"/>
  </dataFields>
  <formats count="25">
    <format dxfId="25">
      <pivotArea collapsedLevelsAreSubtotals="1" fieldPosition="0">
        <references count="1">
          <reference field="0" count="0"/>
        </references>
      </pivotArea>
    </format>
    <format dxfId="24">
      <pivotArea dataOnly="0" labelOnly="1" fieldPosition="0">
        <references count="1">
          <reference field="0" count="0"/>
        </references>
      </pivotArea>
    </format>
    <format dxfId="23">
      <pivotArea dataOnly="0" labelOnly="1" fieldPosition="0">
        <references count="1">
          <reference field="0" count="11">
            <x v="0"/>
            <x v="1"/>
            <x v="2"/>
            <x v="3"/>
            <x v="4"/>
            <x v="5"/>
            <x v="6"/>
            <x v="7"/>
            <x v="8"/>
            <x v="9"/>
            <x v="10"/>
          </reference>
        </references>
      </pivotArea>
    </format>
    <format dxfId="22">
      <pivotArea dataOnly="0" labelOnly="1" fieldPosition="0">
        <references count="1">
          <reference field="0" count="1">
            <x v="11"/>
          </reference>
        </references>
      </pivotArea>
    </format>
    <format dxfId="21">
      <pivotArea outline="0" collapsedLevelsAreSubtotals="1" fieldPosition="0">
        <references count="1">
          <reference field="11" count="1" selected="0">
            <x v="1"/>
          </reference>
        </references>
      </pivotArea>
    </format>
    <format dxfId="20">
      <pivotArea field="11" type="button" dataOnly="0" labelOnly="1" outline="0" axis="axisCol" fieldPosition="0"/>
    </format>
    <format dxfId="19">
      <pivotArea dataOnly="0" labelOnly="1" fieldPosition="0">
        <references count="1">
          <reference field="11" count="1">
            <x v="1"/>
          </reference>
        </references>
      </pivotArea>
    </format>
    <format dxfId="18">
      <pivotArea outline="0" collapsedLevelsAreSubtotals="1" fieldPosition="0">
        <references count="1">
          <reference field="11" count="1" selected="0">
            <x v="1"/>
          </reference>
        </references>
      </pivotArea>
    </format>
    <format dxfId="17">
      <pivotArea field="11" type="button" dataOnly="0" labelOnly="1" outline="0" axis="axisCol" fieldPosition="0"/>
    </format>
    <format dxfId="16">
      <pivotArea dataOnly="0" labelOnly="1" fieldPosition="0">
        <references count="1">
          <reference field="11" count="1">
            <x v="1"/>
          </reference>
        </references>
      </pivotArea>
    </format>
    <format dxfId="15">
      <pivotArea type="origin" dataOnly="0" labelOnly="1" outline="0" fieldPosition="0"/>
    </format>
    <format dxfId="14">
      <pivotArea field="11" type="button" dataOnly="0" labelOnly="1" outline="0" axis="axisCol" fieldPosition="0"/>
    </format>
    <format dxfId="13">
      <pivotArea dataOnly="0" labelOnly="1" fieldPosition="0">
        <references count="1">
          <reference field="11" count="1">
            <x v="8"/>
          </reference>
        </references>
      </pivotArea>
    </format>
    <format dxfId="12">
      <pivotArea field="0" type="button" dataOnly="0" labelOnly="1" outline="0" axis="axisRow" fieldPosition="0"/>
    </format>
    <format dxfId="11">
      <pivotArea dataOnly="0" labelOnly="1" fieldPosition="0">
        <references count="1">
          <reference field="11" count="0"/>
        </references>
      </pivotArea>
    </format>
    <format dxfId="10">
      <pivotArea dataOnly="0" labelOnly="1" grandCol="1" outline="0" fieldPosition="0"/>
    </format>
    <format dxfId="9">
      <pivotArea field="0" type="button" dataOnly="0" labelOnly="1" outline="0" axis="axisRow" fieldPosition="0"/>
    </format>
    <format dxfId="8">
      <pivotArea dataOnly="0" labelOnly="1" fieldPosition="0">
        <references count="1">
          <reference field="11" count="0"/>
        </references>
      </pivotArea>
    </format>
    <format dxfId="7">
      <pivotArea dataOnly="0" labelOnly="1" grandCol="1" outline="0" fieldPosition="0"/>
    </format>
    <format dxfId="6">
      <pivotArea field="0" type="button" dataOnly="0" labelOnly="1" outline="0" axis="axisRow" fieldPosition="0"/>
    </format>
    <format dxfId="5">
      <pivotArea outline="0" collapsedLevelsAreSubtotals="1" fieldPosition="0"/>
    </format>
    <format dxfId="4">
      <pivotArea field="11" type="button" dataOnly="0" labelOnly="1" outline="0" axis="axisCol" fieldPosition="0"/>
    </format>
    <format dxfId="3">
      <pivotArea type="topRight" dataOnly="0" labelOnly="1" outline="0" fieldPosition="0"/>
    </format>
    <format dxfId="2">
      <pivotArea dataOnly="0" labelOnly="1" fieldPosition="0">
        <references count="1">
          <reference field="11" count="0"/>
        </references>
      </pivotArea>
    </format>
    <format dxfId="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13"/>
  <sheetViews>
    <sheetView tabSelected="1" workbookViewId="0">
      <pane xSplit="3" ySplit="1" topLeftCell="D170" activePane="bottomRight" state="frozen"/>
      <selection pane="topRight"/>
      <selection pane="bottomLeft"/>
      <selection pane="bottomRight" activeCell="I272" sqref="I272"/>
    </sheetView>
  </sheetViews>
  <sheetFormatPr baseColWidth="10" defaultColWidth="9.140625" defaultRowHeight="15" x14ac:dyDescent="0.25"/>
  <cols>
    <col min="1" max="1" width="22" customWidth="1"/>
    <col min="2" max="2" width="14" customWidth="1"/>
    <col min="3" max="3" width="12" customWidth="1"/>
    <col min="4" max="4" width="10" customWidth="1"/>
    <col min="5" max="5" width="35" customWidth="1"/>
    <col min="6" max="6" width="18" customWidth="1"/>
    <col min="7" max="7" width="22" customWidth="1"/>
    <col min="8" max="8" width="24" style="97" customWidth="1"/>
    <col min="9" max="9" width="89.42578125" customWidth="1"/>
    <col min="10" max="11" width="12" customWidth="1"/>
    <col min="12" max="12" width="29" customWidth="1"/>
    <col min="13" max="13" width="10" customWidth="1"/>
    <col min="14" max="14" width="14" bestFit="1" customWidth="1"/>
    <col min="15" max="15" width="103.42578125" customWidth="1"/>
    <col min="16" max="16" width="10" customWidth="1"/>
    <col min="17" max="17" width="18" customWidth="1"/>
    <col min="18" max="18" width="12" customWidth="1"/>
    <col min="19" max="19" width="30" customWidth="1"/>
  </cols>
  <sheetData>
    <row r="1" spans="1:19" ht="4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t="s">
        <v>19</v>
      </c>
      <c r="B2" t="s">
        <v>20</v>
      </c>
      <c r="C2" t="s">
        <v>21</v>
      </c>
      <c r="D2" t="s">
        <v>22</v>
      </c>
      <c r="E2" t="s">
        <v>23</v>
      </c>
      <c r="F2" t="s">
        <v>24</v>
      </c>
      <c r="G2" t="s">
        <v>25</v>
      </c>
      <c r="H2" t="s">
        <v>26</v>
      </c>
      <c r="I2" t="s">
        <v>27</v>
      </c>
      <c r="J2" t="s">
        <v>28</v>
      </c>
      <c r="K2" t="s">
        <v>29</v>
      </c>
      <c r="L2" t="s">
        <v>30</v>
      </c>
      <c r="M2" s="2" t="s">
        <v>30</v>
      </c>
    </row>
    <row r="3" spans="1:19" x14ac:dyDescent="0.25">
      <c r="A3" t="s">
        <v>19</v>
      </c>
      <c r="B3" t="s">
        <v>20</v>
      </c>
      <c r="C3" t="s">
        <v>21</v>
      </c>
      <c r="D3" t="s">
        <v>22</v>
      </c>
      <c r="E3" t="s">
        <v>23</v>
      </c>
      <c r="F3" t="s">
        <v>24</v>
      </c>
      <c r="G3" t="s">
        <v>25</v>
      </c>
      <c r="H3" t="s">
        <v>31</v>
      </c>
      <c r="I3" t="s">
        <v>32</v>
      </c>
      <c r="J3" t="s">
        <v>28</v>
      </c>
      <c r="K3" t="s">
        <v>33</v>
      </c>
      <c r="L3" t="s">
        <v>30</v>
      </c>
      <c r="M3" s="2" t="s">
        <v>30</v>
      </c>
    </row>
    <row r="4" spans="1:19" x14ac:dyDescent="0.25">
      <c r="A4" t="s">
        <v>19</v>
      </c>
      <c r="B4" t="s">
        <v>20</v>
      </c>
      <c r="C4" t="s">
        <v>21</v>
      </c>
      <c r="D4" t="s">
        <v>22</v>
      </c>
      <c r="E4" t="s">
        <v>23</v>
      </c>
      <c r="F4" t="s">
        <v>24</v>
      </c>
      <c r="G4" t="s">
        <v>25</v>
      </c>
      <c r="H4" t="s">
        <v>34</v>
      </c>
      <c r="I4" t="s">
        <v>35</v>
      </c>
      <c r="J4" t="s">
        <v>28</v>
      </c>
      <c r="K4" t="s">
        <v>36</v>
      </c>
      <c r="L4" t="s">
        <v>30</v>
      </c>
      <c r="M4" s="2" t="s">
        <v>30</v>
      </c>
      <c r="O4" t="s">
        <v>37</v>
      </c>
      <c r="R4" t="s">
        <v>38</v>
      </c>
    </row>
    <row r="5" spans="1:19" x14ac:dyDescent="0.25">
      <c r="A5" t="s">
        <v>19</v>
      </c>
      <c r="B5" t="s">
        <v>20</v>
      </c>
      <c r="C5" t="s">
        <v>39</v>
      </c>
      <c r="D5" t="s">
        <v>22</v>
      </c>
      <c r="E5" t="s">
        <v>40</v>
      </c>
      <c r="F5" t="s">
        <v>19</v>
      </c>
      <c r="G5" t="s">
        <v>25</v>
      </c>
      <c r="H5" t="s">
        <v>41</v>
      </c>
      <c r="I5" t="s">
        <v>42</v>
      </c>
      <c r="J5" t="s">
        <v>28</v>
      </c>
      <c r="K5" t="s">
        <v>29</v>
      </c>
      <c r="L5" t="s">
        <v>30</v>
      </c>
      <c r="M5" s="2" t="s">
        <v>30</v>
      </c>
    </row>
    <row r="6" spans="1:19" x14ac:dyDescent="0.25">
      <c r="A6" t="s">
        <v>19</v>
      </c>
      <c r="B6" t="s">
        <v>20</v>
      </c>
      <c r="C6" t="s">
        <v>39</v>
      </c>
      <c r="D6" t="s">
        <v>22</v>
      </c>
      <c r="E6" t="s">
        <v>40</v>
      </c>
      <c r="F6" t="s">
        <v>19</v>
      </c>
      <c r="G6" t="s">
        <v>25</v>
      </c>
      <c r="H6" t="s">
        <v>43</v>
      </c>
      <c r="I6" t="s">
        <v>44</v>
      </c>
      <c r="J6" t="s">
        <v>28</v>
      </c>
      <c r="K6" t="s">
        <v>29</v>
      </c>
      <c r="L6" t="s">
        <v>30</v>
      </c>
      <c r="M6" s="2" t="s">
        <v>30</v>
      </c>
    </row>
    <row r="7" spans="1:19" x14ac:dyDescent="0.25">
      <c r="A7" t="s">
        <v>19</v>
      </c>
      <c r="B7" t="s">
        <v>20</v>
      </c>
      <c r="C7" t="s">
        <v>39</v>
      </c>
      <c r="D7" t="s">
        <v>22</v>
      </c>
      <c r="E7" t="s">
        <v>40</v>
      </c>
      <c r="F7" t="s">
        <v>19</v>
      </c>
      <c r="G7" t="s">
        <v>25</v>
      </c>
      <c r="H7" t="s">
        <v>45</v>
      </c>
      <c r="I7" t="s">
        <v>46</v>
      </c>
      <c r="J7" t="s">
        <v>28</v>
      </c>
      <c r="K7" t="s">
        <v>29</v>
      </c>
      <c r="L7" t="s">
        <v>30</v>
      </c>
      <c r="M7" s="2" t="s">
        <v>30</v>
      </c>
    </row>
    <row r="8" spans="1:19" x14ac:dyDescent="0.25">
      <c r="A8" t="s">
        <v>19</v>
      </c>
      <c r="B8" t="s">
        <v>20</v>
      </c>
      <c r="C8" t="s">
        <v>39</v>
      </c>
      <c r="D8" t="s">
        <v>22</v>
      </c>
      <c r="E8" t="s">
        <v>40</v>
      </c>
      <c r="F8" t="s">
        <v>19</v>
      </c>
      <c r="G8" t="s">
        <v>25</v>
      </c>
      <c r="H8" t="s">
        <v>47</v>
      </c>
      <c r="I8" t="s">
        <v>48</v>
      </c>
      <c r="J8" t="s">
        <v>28</v>
      </c>
      <c r="K8" t="s">
        <v>29</v>
      </c>
      <c r="L8" t="s">
        <v>30</v>
      </c>
      <c r="M8" s="2" t="s">
        <v>30</v>
      </c>
    </row>
    <row r="9" spans="1:19" x14ac:dyDescent="0.25">
      <c r="A9" t="s">
        <v>19</v>
      </c>
      <c r="B9" t="s">
        <v>20</v>
      </c>
      <c r="C9" t="s">
        <v>39</v>
      </c>
      <c r="D9" t="s">
        <v>22</v>
      </c>
      <c r="E9" t="s">
        <v>40</v>
      </c>
      <c r="F9" t="s">
        <v>19</v>
      </c>
      <c r="G9" t="s">
        <v>25</v>
      </c>
      <c r="H9" t="s">
        <v>49</v>
      </c>
      <c r="I9" t="s">
        <v>50</v>
      </c>
      <c r="J9" t="s">
        <v>28</v>
      </c>
      <c r="K9" t="s">
        <v>51</v>
      </c>
      <c r="L9" t="s">
        <v>52</v>
      </c>
      <c r="M9" s="3" t="s">
        <v>52</v>
      </c>
      <c r="O9" t="s">
        <v>53</v>
      </c>
      <c r="Q9" t="s">
        <v>54</v>
      </c>
    </row>
    <row r="10" spans="1:19" x14ac:dyDescent="0.25">
      <c r="A10" t="s">
        <v>19</v>
      </c>
      <c r="B10" t="s">
        <v>20</v>
      </c>
      <c r="C10" t="s">
        <v>39</v>
      </c>
      <c r="D10" t="s">
        <v>22</v>
      </c>
      <c r="E10" t="s">
        <v>40</v>
      </c>
      <c r="F10" t="s">
        <v>19</v>
      </c>
      <c r="G10" t="s">
        <v>25</v>
      </c>
      <c r="H10" t="s">
        <v>55</v>
      </c>
      <c r="I10" t="s">
        <v>56</v>
      </c>
      <c r="J10" t="s">
        <v>28</v>
      </c>
      <c r="K10" t="s">
        <v>51</v>
      </c>
      <c r="L10" t="s">
        <v>52</v>
      </c>
      <c r="M10" s="3" t="s">
        <v>52</v>
      </c>
      <c r="O10" t="s">
        <v>57</v>
      </c>
    </row>
    <row r="11" spans="1:19" x14ac:dyDescent="0.25">
      <c r="A11" t="s">
        <v>19</v>
      </c>
      <c r="B11" t="s">
        <v>20</v>
      </c>
      <c r="C11" t="s">
        <v>58</v>
      </c>
      <c r="D11" t="s">
        <v>59</v>
      </c>
      <c r="E11" t="s">
        <v>60</v>
      </c>
      <c r="F11" t="s">
        <v>61</v>
      </c>
      <c r="G11" t="s">
        <v>62</v>
      </c>
      <c r="H11" t="s">
        <v>63</v>
      </c>
      <c r="I11" t="s">
        <v>64</v>
      </c>
      <c r="J11" t="s">
        <v>28</v>
      </c>
      <c r="K11" t="s">
        <v>65</v>
      </c>
      <c r="L11" t="s">
        <v>30</v>
      </c>
      <c r="M11" s="2" t="s">
        <v>30</v>
      </c>
      <c r="O11" t="s">
        <v>68</v>
      </c>
    </row>
    <row r="12" spans="1:19" x14ac:dyDescent="0.25">
      <c r="A12" t="s">
        <v>19</v>
      </c>
      <c r="B12" t="s">
        <v>20</v>
      </c>
      <c r="C12" t="s">
        <v>58</v>
      </c>
      <c r="D12" t="s">
        <v>59</v>
      </c>
      <c r="E12" t="s">
        <v>60</v>
      </c>
      <c r="F12" t="s">
        <v>61</v>
      </c>
      <c r="G12" t="s">
        <v>62</v>
      </c>
      <c r="H12" t="s">
        <v>69</v>
      </c>
      <c r="I12" t="s">
        <v>70</v>
      </c>
      <c r="J12" t="s">
        <v>28</v>
      </c>
      <c r="K12" t="s">
        <v>65</v>
      </c>
      <c r="L12" t="s">
        <v>30</v>
      </c>
      <c r="M12" s="2" t="s">
        <v>30</v>
      </c>
      <c r="O12" t="s">
        <v>68</v>
      </c>
    </row>
    <row r="13" spans="1:19" x14ac:dyDescent="0.25">
      <c r="A13" t="s">
        <v>19</v>
      </c>
      <c r="B13" t="s">
        <v>20</v>
      </c>
      <c r="C13" t="s">
        <v>58</v>
      </c>
      <c r="D13" t="s">
        <v>59</v>
      </c>
      <c r="E13" t="s">
        <v>60</v>
      </c>
      <c r="F13" t="s">
        <v>61</v>
      </c>
      <c r="G13" t="s">
        <v>62</v>
      </c>
      <c r="H13" t="s">
        <v>71</v>
      </c>
      <c r="I13" t="s">
        <v>72</v>
      </c>
      <c r="J13" t="s">
        <v>28</v>
      </c>
      <c r="K13" t="s">
        <v>65</v>
      </c>
      <c r="L13" t="s">
        <v>30</v>
      </c>
      <c r="M13" s="2" t="s">
        <v>30</v>
      </c>
      <c r="O13" t="s">
        <v>68</v>
      </c>
    </row>
    <row r="14" spans="1:19" x14ac:dyDescent="0.25">
      <c r="A14" t="s">
        <v>19</v>
      </c>
      <c r="B14" t="s">
        <v>20</v>
      </c>
      <c r="C14" t="s">
        <v>58</v>
      </c>
      <c r="D14" t="s">
        <v>59</v>
      </c>
      <c r="E14" t="s">
        <v>60</v>
      </c>
      <c r="F14" t="s">
        <v>61</v>
      </c>
      <c r="G14" t="s">
        <v>62</v>
      </c>
      <c r="H14" t="s">
        <v>73</v>
      </c>
      <c r="I14" t="s">
        <v>74</v>
      </c>
      <c r="J14" t="s">
        <v>28</v>
      </c>
      <c r="K14" t="s">
        <v>65</v>
      </c>
      <c r="L14" t="s">
        <v>30</v>
      </c>
      <c r="M14" s="2" t="s">
        <v>30</v>
      </c>
      <c r="O14" t="s">
        <v>68</v>
      </c>
    </row>
    <row r="15" spans="1:19" x14ac:dyDescent="0.25">
      <c r="A15" t="s">
        <v>19</v>
      </c>
      <c r="B15" t="s">
        <v>20</v>
      </c>
      <c r="C15" t="s">
        <v>58</v>
      </c>
      <c r="D15" t="s">
        <v>59</v>
      </c>
      <c r="E15" t="s">
        <v>60</v>
      </c>
      <c r="F15" t="s">
        <v>61</v>
      </c>
      <c r="G15" t="s">
        <v>62</v>
      </c>
      <c r="H15" t="s">
        <v>75</v>
      </c>
      <c r="I15" t="s">
        <v>76</v>
      </c>
      <c r="J15" t="s">
        <v>28</v>
      </c>
      <c r="K15" t="s">
        <v>65</v>
      </c>
      <c r="L15" t="s">
        <v>30</v>
      </c>
      <c r="M15" s="2" t="s">
        <v>30</v>
      </c>
      <c r="O15" t="s">
        <v>68</v>
      </c>
    </row>
    <row r="16" spans="1:19" x14ac:dyDescent="0.25">
      <c r="A16" t="s">
        <v>19</v>
      </c>
      <c r="B16" t="s">
        <v>20</v>
      </c>
      <c r="C16" t="s">
        <v>77</v>
      </c>
      <c r="D16" t="s">
        <v>78</v>
      </c>
      <c r="E16" t="s">
        <v>79</v>
      </c>
      <c r="F16" t="s">
        <v>80</v>
      </c>
      <c r="G16" t="s">
        <v>62</v>
      </c>
      <c r="H16" t="s">
        <v>81</v>
      </c>
      <c r="I16" t="s">
        <v>82</v>
      </c>
      <c r="J16" t="s">
        <v>28</v>
      </c>
      <c r="K16" t="s">
        <v>51</v>
      </c>
      <c r="L16" t="s">
        <v>30</v>
      </c>
      <c r="M16" s="2" t="s">
        <v>30</v>
      </c>
    </row>
    <row r="17" spans="1:19" x14ac:dyDescent="0.25">
      <c r="A17" t="s">
        <v>19</v>
      </c>
      <c r="B17" t="s">
        <v>20</v>
      </c>
      <c r="C17" t="s">
        <v>77</v>
      </c>
      <c r="D17" t="s">
        <v>78</v>
      </c>
      <c r="E17" t="s">
        <v>79</v>
      </c>
      <c r="F17" t="s">
        <v>80</v>
      </c>
      <c r="G17" t="s">
        <v>62</v>
      </c>
      <c r="H17" t="s">
        <v>83</v>
      </c>
      <c r="I17" t="s">
        <v>84</v>
      </c>
      <c r="J17" t="s">
        <v>28</v>
      </c>
      <c r="K17" t="s">
        <v>51</v>
      </c>
      <c r="L17" t="s">
        <v>30</v>
      </c>
      <c r="M17" s="2" t="s">
        <v>30</v>
      </c>
    </row>
    <row r="18" spans="1:19" x14ac:dyDescent="0.25">
      <c r="A18" t="s">
        <v>19</v>
      </c>
      <c r="B18" t="s">
        <v>20</v>
      </c>
      <c r="C18" t="s">
        <v>77</v>
      </c>
      <c r="D18" t="s">
        <v>78</v>
      </c>
      <c r="E18" t="s">
        <v>79</v>
      </c>
      <c r="F18" t="s">
        <v>80</v>
      </c>
      <c r="G18" t="s">
        <v>62</v>
      </c>
      <c r="H18" t="s">
        <v>85</v>
      </c>
      <c r="I18" t="s">
        <v>86</v>
      </c>
      <c r="J18" t="s">
        <v>28</v>
      </c>
      <c r="K18" t="s">
        <v>87</v>
      </c>
      <c r="L18" t="s">
        <v>30</v>
      </c>
      <c r="M18" s="2" t="s">
        <v>30</v>
      </c>
      <c r="O18" t="s">
        <v>88</v>
      </c>
      <c r="Q18" t="s">
        <v>89</v>
      </c>
      <c r="R18" t="s">
        <v>87</v>
      </c>
    </row>
    <row r="19" spans="1:19" x14ac:dyDescent="0.25">
      <c r="A19" t="s">
        <v>19</v>
      </c>
      <c r="B19" t="s">
        <v>20</v>
      </c>
      <c r="C19" t="s">
        <v>77</v>
      </c>
      <c r="D19" t="s">
        <v>78</v>
      </c>
      <c r="E19" t="s">
        <v>79</v>
      </c>
      <c r="F19" t="s">
        <v>80</v>
      </c>
      <c r="G19" t="s">
        <v>62</v>
      </c>
      <c r="H19" t="s">
        <v>90</v>
      </c>
      <c r="I19" t="s">
        <v>91</v>
      </c>
      <c r="J19" t="s">
        <v>28</v>
      </c>
      <c r="K19" t="s">
        <v>51</v>
      </c>
      <c r="L19" t="s">
        <v>52</v>
      </c>
      <c r="M19" s="3" t="s">
        <v>52</v>
      </c>
      <c r="O19" t="s">
        <v>53</v>
      </c>
      <c r="Q19" t="s">
        <v>54</v>
      </c>
    </row>
    <row r="20" spans="1:19" x14ac:dyDescent="0.25">
      <c r="A20" t="s">
        <v>19</v>
      </c>
      <c r="B20" t="s">
        <v>20</v>
      </c>
      <c r="C20" t="s">
        <v>92</v>
      </c>
      <c r="D20" t="s">
        <v>22</v>
      </c>
      <c r="E20" t="s">
        <v>93</v>
      </c>
      <c r="F20" t="s">
        <v>80</v>
      </c>
      <c r="G20" t="s">
        <v>62</v>
      </c>
      <c r="H20" t="s">
        <v>94</v>
      </c>
      <c r="I20" t="s">
        <v>95</v>
      </c>
      <c r="J20" t="s">
        <v>28</v>
      </c>
      <c r="K20" t="s">
        <v>96</v>
      </c>
      <c r="L20" t="s">
        <v>30</v>
      </c>
      <c r="M20" s="2" t="s">
        <v>30</v>
      </c>
    </row>
    <row r="21" spans="1:19" x14ac:dyDescent="0.25">
      <c r="A21" t="s">
        <v>19</v>
      </c>
      <c r="B21" t="s">
        <v>20</v>
      </c>
      <c r="C21" t="s">
        <v>92</v>
      </c>
      <c r="D21" t="s">
        <v>22</v>
      </c>
      <c r="E21" t="s">
        <v>93</v>
      </c>
      <c r="F21" t="s">
        <v>80</v>
      </c>
      <c r="G21" t="s">
        <v>62</v>
      </c>
      <c r="H21" t="s">
        <v>97</v>
      </c>
      <c r="I21" t="s">
        <v>98</v>
      </c>
      <c r="J21" t="s">
        <v>28</v>
      </c>
      <c r="K21" t="s">
        <v>96</v>
      </c>
      <c r="L21" t="s">
        <v>30</v>
      </c>
      <c r="M21" s="2" t="s">
        <v>30</v>
      </c>
    </row>
    <row r="22" spans="1:19" x14ac:dyDescent="0.25">
      <c r="A22" t="s">
        <v>19</v>
      </c>
      <c r="B22" t="s">
        <v>20</v>
      </c>
      <c r="C22" t="s">
        <v>92</v>
      </c>
      <c r="D22" t="s">
        <v>22</v>
      </c>
      <c r="E22" t="s">
        <v>93</v>
      </c>
      <c r="F22" t="s">
        <v>80</v>
      </c>
      <c r="G22" t="s">
        <v>62</v>
      </c>
      <c r="H22" t="s">
        <v>99</v>
      </c>
      <c r="I22" t="s">
        <v>100</v>
      </c>
      <c r="J22" t="s">
        <v>28</v>
      </c>
      <c r="K22" t="s">
        <v>87</v>
      </c>
      <c r="L22" t="s">
        <v>30</v>
      </c>
      <c r="M22" s="2" t="s">
        <v>30</v>
      </c>
      <c r="O22" t="s">
        <v>88</v>
      </c>
      <c r="Q22" t="s">
        <v>89</v>
      </c>
      <c r="R22" t="s">
        <v>87</v>
      </c>
    </row>
    <row r="23" spans="1:19" x14ac:dyDescent="0.25">
      <c r="A23" t="s">
        <v>19</v>
      </c>
      <c r="B23" t="s">
        <v>20</v>
      </c>
      <c r="C23" t="s">
        <v>92</v>
      </c>
      <c r="D23" t="s">
        <v>22</v>
      </c>
      <c r="E23" t="s">
        <v>93</v>
      </c>
      <c r="F23" t="s">
        <v>80</v>
      </c>
      <c r="G23" t="s">
        <v>62</v>
      </c>
      <c r="H23" t="s">
        <v>101</v>
      </c>
      <c r="I23" t="s">
        <v>102</v>
      </c>
      <c r="J23" t="s">
        <v>28</v>
      </c>
      <c r="K23" t="s">
        <v>96</v>
      </c>
      <c r="L23" t="s">
        <v>52</v>
      </c>
      <c r="M23" s="3" t="s">
        <v>52</v>
      </c>
      <c r="O23" t="s">
        <v>53</v>
      </c>
      <c r="Q23" t="s">
        <v>103</v>
      </c>
    </row>
    <row r="24" spans="1:19" x14ac:dyDescent="0.25">
      <c r="A24" t="s">
        <v>19</v>
      </c>
      <c r="B24" t="s">
        <v>20</v>
      </c>
      <c r="C24" t="s">
        <v>104</v>
      </c>
      <c r="D24" t="s">
        <v>22</v>
      </c>
      <c r="E24" t="s">
        <v>105</v>
      </c>
      <c r="F24" t="s">
        <v>80</v>
      </c>
      <c r="G24" t="s">
        <v>52</v>
      </c>
      <c r="H24" t="s">
        <v>106</v>
      </c>
      <c r="I24" t="s">
        <v>107</v>
      </c>
      <c r="J24" t="s">
        <v>28</v>
      </c>
      <c r="K24" t="s">
        <v>96</v>
      </c>
      <c r="L24" t="s">
        <v>30</v>
      </c>
      <c r="M24" s="2" t="s">
        <v>30</v>
      </c>
    </row>
    <row r="25" spans="1:19" x14ac:dyDescent="0.25">
      <c r="A25" t="s">
        <v>19</v>
      </c>
      <c r="B25" t="s">
        <v>20</v>
      </c>
      <c r="C25" t="s">
        <v>104</v>
      </c>
      <c r="D25" t="s">
        <v>22</v>
      </c>
      <c r="E25" t="s">
        <v>105</v>
      </c>
      <c r="F25" t="s">
        <v>80</v>
      </c>
      <c r="G25" t="s">
        <v>52</v>
      </c>
      <c r="H25" t="s">
        <v>108</v>
      </c>
      <c r="I25" t="s">
        <v>109</v>
      </c>
      <c r="J25" t="s">
        <v>28</v>
      </c>
      <c r="K25" t="s">
        <v>96</v>
      </c>
      <c r="L25" t="s">
        <v>30</v>
      </c>
      <c r="M25" s="2" t="s">
        <v>30</v>
      </c>
    </row>
    <row r="26" spans="1:19" x14ac:dyDescent="0.25">
      <c r="A26" t="s">
        <v>19</v>
      </c>
      <c r="B26" t="s">
        <v>20</v>
      </c>
      <c r="C26" t="s">
        <v>104</v>
      </c>
      <c r="D26" t="s">
        <v>22</v>
      </c>
      <c r="E26" t="s">
        <v>105</v>
      </c>
      <c r="F26" t="s">
        <v>80</v>
      </c>
      <c r="G26" t="s">
        <v>52</v>
      </c>
      <c r="H26" t="s">
        <v>110</v>
      </c>
      <c r="I26" t="s">
        <v>111</v>
      </c>
      <c r="J26" t="s">
        <v>28</v>
      </c>
      <c r="K26" t="s">
        <v>96</v>
      </c>
      <c r="L26" t="s">
        <v>30</v>
      </c>
      <c r="M26" s="2" t="s">
        <v>30</v>
      </c>
    </row>
    <row r="27" spans="1:19" x14ac:dyDescent="0.25">
      <c r="A27" t="s">
        <v>19</v>
      </c>
      <c r="B27" t="s">
        <v>20</v>
      </c>
      <c r="C27" t="s">
        <v>112</v>
      </c>
      <c r="D27" t="s">
        <v>22</v>
      </c>
      <c r="E27" t="s">
        <v>113</v>
      </c>
      <c r="F27" t="s">
        <v>114</v>
      </c>
      <c r="G27" t="s">
        <v>115</v>
      </c>
      <c r="H27" t="s">
        <v>116</v>
      </c>
      <c r="I27" t="s">
        <v>117</v>
      </c>
      <c r="J27" t="s">
        <v>28</v>
      </c>
      <c r="K27" t="s">
        <v>118</v>
      </c>
      <c r="L27" t="s">
        <v>30</v>
      </c>
      <c r="M27" s="2" t="s">
        <v>30</v>
      </c>
      <c r="O27" t="s">
        <v>119</v>
      </c>
      <c r="R27" t="s">
        <v>120</v>
      </c>
      <c r="S27" t="s">
        <v>121</v>
      </c>
    </row>
    <row r="28" spans="1:19" x14ac:dyDescent="0.25">
      <c r="A28" t="s">
        <v>19</v>
      </c>
      <c r="B28" t="s">
        <v>20</v>
      </c>
      <c r="C28" t="s">
        <v>112</v>
      </c>
      <c r="D28" t="s">
        <v>22</v>
      </c>
      <c r="E28" t="s">
        <v>113</v>
      </c>
      <c r="F28" t="s">
        <v>114</v>
      </c>
      <c r="G28" t="s">
        <v>115</v>
      </c>
      <c r="H28" t="s">
        <v>122</v>
      </c>
      <c r="I28" t="s">
        <v>123</v>
      </c>
      <c r="J28" t="s">
        <v>28</v>
      </c>
      <c r="K28" t="s">
        <v>124</v>
      </c>
      <c r="L28" t="s">
        <v>52</v>
      </c>
      <c r="M28" s="3" t="s">
        <v>52</v>
      </c>
      <c r="O28" t="s">
        <v>125</v>
      </c>
      <c r="P28" t="s">
        <v>126</v>
      </c>
      <c r="R28" t="s">
        <v>87</v>
      </c>
    </row>
    <row r="29" spans="1:19" x14ac:dyDescent="0.25">
      <c r="A29" t="s">
        <v>19</v>
      </c>
      <c r="B29" t="s">
        <v>20</v>
      </c>
      <c r="C29" t="s">
        <v>112</v>
      </c>
      <c r="D29" t="s">
        <v>22</v>
      </c>
      <c r="E29" t="s">
        <v>113</v>
      </c>
      <c r="F29" t="s">
        <v>114</v>
      </c>
      <c r="G29" t="s">
        <v>115</v>
      </c>
      <c r="H29" t="s">
        <v>127</v>
      </c>
      <c r="I29" t="s">
        <v>128</v>
      </c>
      <c r="J29" t="s">
        <v>28</v>
      </c>
      <c r="K29" t="s">
        <v>87</v>
      </c>
      <c r="L29" t="s">
        <v>30</v>
      </c>
      <c r="M29" s="2" t="s">
        <v>30</v>
      </c>
      <c r="O29" t="s">
        <v>129</v>
      </c>
      <c r="P29" t="s">
        <v>126</v>
      </c>
      <c r="Q29" t="s">
        <v>130</v>
      </c>
      <c r="R29" t="s">
        <v>87</v>
      </c>
    </row>
    <row r="30" spans="1:19" x14ac:dyDescent="0.25">
      <c r="A30" t="s">
        <v>19</v>
      </c>
      <c r="B30" t="s">
        <v>20</v>
      </c>
      <c r="C30" t="s">
        <v>131</v>
      </c>
      <c r="D30" t="s">
        <v>22</v>
      </c>
      <c r="E30" t="s">
        <v>132</v>
      </c>
      <c r="F30" t="s">
        <v>114</v>
      </c>
      <c r="G30" t="s">
        <v>115</v>
      </c>
      <c r="H30" t="s">
        <v>133</v>
      </c>
      <c r="I30" t="s">
        <v>134</v>
      </c>
      <c r="J30" t="s">
        <v>28</v>
      </c>
      <c r="K30" t="s">
        <v>96</v>
      </c>
      <c r="L30" t="s">
        <v>30</v>
      </c>
      <c r="M30" s="2" t="s">
        <v>30</v>
      </c>
    </row>
    <row r="31" spans="1:19" x14ac:dyDescent="0.25">
      <c r="A31" t="s">
        <v>19</v>
      </c>
      <c r="B31" t="s">
        <v>20</v>
      </c>
      <c r="C31" t="s">
        <v>131</v>
      </c>
      <c r="D31" t="s">
        <v>22</v>
      </c>
      <c r="E31" t="s">
        <v>132</v>
      </c>
      <c r="F31" t="s">
        <v>114</v>
      </c>
      <c r="G31" t="s">
        <v>115</v>
      </c>
      <c r="H31" t="s">
        <v>135</v>
      </c>
      <c r="I31" t="s">
        <v>136</v>
      </c>
      <c r="J31" t="s">
        <v>28</v>
      </c>
      <c r="K31" t="s">
        <v>96</v>
      </c>
      <c r="L31" t="s">
        <v>30</v>
      </c>
      <c r="M31" s="2" t="s">
        <v>30</v>
      </c>
    </row>
    <row r="32" spans="1:19" x14ac:dyDescent="0.25">
      <c r="A32" t="s">
        <v>19</v>
      </c>
      <c r="B32" t="s">
        <v>20</v>
      </c>
      <c r="C32" t="s">
        <v>131</v>
      </c>
      <c r="D32" t="s">
        <v>22</v>
      </c>
      <c r="E32" t="s">
        <v>132</v>
      </c>
      <c r="F32" t="s">
        <v>114</v>
      </c>
      <c r="G32" t="s">
        <v>115</v>
      </c>
      <c r="H32" t="s">
        <v>137</v>
      </c>
      <c r="I32" t="s">
        <v>138</v>
      </c>
      <c r="J32" t="s">
        <v>28</v>
      </c>
      <c r="K32" t="s">
        <v>96</v>
      </c>
      <c r="L32" t="s">
        <v>30</v>
      </c>
      <c r="M32" s="2" t="s">
        <v>30</v>
      </c>
    </row>
    <row r="33" spans="1:19" x14ac:dyDescent="0.25">
      <c r="A33" t="s">
        <v>19</v>
      </c>
      <c r="B33" t="s">
        <v>20</v>
      </c>
      <c r="C33" t="s">
        <v>139</v>
      </c>
      <c r="D33" t="s">
        <v>22</v>
      </c>
      <c r="E33" t="s">
        <v>140</v>
      </c>
      <c r="F33" t="s">
        <v>80</v>
      </c>
      <c r="G33" t="s">
        <v>141</v>
      </c>
      <c r="H33" t="s">
        <v>142</v>
      </c>
      <c r="I33" t="s">
        <v>143</v>
      </c>
      <c r="J33" t="s">
        <v>28</v>
      </c>
      <c r="K33" t="s">
        <v>65</v>
      </c>
      <c r="L33" t="s">
        <v>30</v>
      </c>
      <c r="M33" s="2" t="s">
        <v>30</v>
      </c>
    </row>
    <row r="34" spans="1:19" x14ac:dyDescent="0.25">
      <c r="A34" t="s">
        <v>19</v>
      </c>
      <c r="B34" t="s">
        <v>20</v>
      </c>
      <c r="C34" t="s">
        <v>139</v>
      </c>
      <c r="D34" t="s">
        <v>22</v>
      </c>
      <c r="E34" t="s">
        <v>140</v>
      </c>
      <c r="F34" t="s">
        <v>80</v>
      </c>
      <c r="G34" t="s">
        <v>141</v>
      </c>
      <c r="H34" t="s">
        <v>144</v>
      </c>
      <c r="I34" t="s">
        <v>145</v>
      </c>
      <c r="J34" t="s">
        <v>28</v>
      </c>
      <c r="K34" t="s">
        <v>87</v>
      </c>
      <c r="L34" t="s">
        <v>30</v>
      </c>
      <c r="M34" s="2" t="s">
        <v>30</v>
      </c>
      <c r="O34" t="s">
        <v>146</v>
      </c>
      <c r="Q34" t="s">
        <v>147</v>
      </c>
      <c r="R34" t="s">
        <v>87</v>
      </c>
    </row>
    <row r="35" spans="1:19" x14ac:dyDescent="0.25">
      <c r="A35" t="s">
        <v>19</v>
      </c>
      <c r="B35" t="s">
        <v>20</v>
      </c>
      <c r="C35" t="s">
        <v>148</v>
      </c>
      <c r="D35" t="s">
        <v>22</v>
      </c>
      <c r="E35" t="s">
        <v>149</v>
      </c>
      <c r="F35" t="s">
        <v>80</v>
      </c>
      <c r="G35" t="s">
        <v>141</v>
      </c>
      <c r="H35" t="s">
        <v>150</v>
      </c>
      <c r="I35" t="s">
        <v>151</v>
      </c>
      <c r="J35" t="s">
        <v>28</v>
      </c>
      <c r="K35" t="s">
        <v>152</v>
      </c>
      <c r="L35" t="s">
        <v>30</v>
      </c>
      <c r="M35" s="2" t="s">
        <v>30</v>
      </c>
      <c r="O35" t="s">
        <v>153</v>
      </c>
      <c r="Q35" t="s">
        <v>89</v>
      </c>
      <c r="R35" t="s">
        <v>152</v>
      </c>
      <c r="S35" t="s">
        <v>154</v>
      </c>
    </row>
    <row r="36" spans="1:19" x14ac:dyDescent="0.25">
      <c r="A36" t="s">
        <v>19</v>
      </c>
      <c r="B36" t="s">
        <v>20</v>
      </c>
      <c r="C36" t="s">
        <v>148</v>
      </c>
      <c r="D36" t="s">
        <v>22</v>
      </c>
      <c r="E36" t="s">
        <v>149</v>
      </c>
      <c r="F36" t="s">
        <v>80</v>
      </c>
      <c r="G36" t="s">
        <v>141</v>
      </c>
      <c r="H36" t="s">
        <v>155</v>
      </c>
      <c r="I36" t="s">
        <v>156</v>
      </c>
      <c r="J36" t="s">
        <v>28</v>
      </c>
      <c r="K36" t="s">
        <v>157</v>
      </c>
      <c r="L36" t="s">
        <v>30</v>
      </c>
      <c r="M36" s="2" t="s">
        <v>30</v>
      </c>
    </row>
    <row r="37" spans="1:19" x14ac:dyDescent="0.25">
      <c r="A37" t="s">
        <v>19</v>
      </c>
      <c r="B37" t="s">
        <v>20</v>
      </c>
      <c r="C37" t="s">
        <v>158</v>
      </c>
      <c r="D37" t="s">
        <v>22</v>
      </c>
      <c r="E37" t="s">
        <v>159</v>
      </c>
      <c r="F37" t="s">
        <v>52</v>
      </c>
      <c r="G37" t="s">
        <v>52</v>
      </c>
      <c r="H37" t="s">
        <v>160</v>
      </c>
      <c r="I37" t="s">
        <v>161</v>
      </c>
      <c r="J37" t="s">
        <v>28</v>
      </c>
      <c r="L37" t="s">
        <v>52</v>
      </c>
      <c r="M37" s="3" t="s">
        <v>52</v>
      </c>
      <c r="O37" t="s">
        <v>161</v>
      </c>
    </row>
    <row r="38" spans="1:19" x14ac:dyDescent="0.25">
      <c r="A38" t="s">
        <v>19</v>
      </c>
      <c r="B38" t="s">
        <v>20</v>
      </c>
      <c r="C38" t="s">
        <v>162</v>
      </c>
      <c r="D38" t="s">
        <v>22</v>
      </c>
      <c r="E38" t="s">
        <v>163</v>
      </c>
      <c r="F38" t="s">
        <v>52</v>
      </c>
      <c r="G38" t="s">
        <v>52</v>
      </c>
      <c r="H38" t="s">
        <v>164</v>
      </c>
      <c r="I38" t="s">
        <v>161</v>
      </c>
      <c r="J38" t="s">
        <v>28</v>
      </c>
      <c r="L38" t="s">
        <v>52</v>
      </c>
      <c r="M38" s="3" t="s">
        <v>52</v>
      </c>
      <c r="O38" t="s">
        <v>161</v>
      </c>
    </row>
    <row r="39" spans="1:19" x14ac:dyDescent="0.25">
      <c r="A39" t="s">
        <v>19</v>
      </c>
      <c r="B39" t="s">
        <v>20</v>
      </c>
      <c r="C39" t="s">
        <v>165</v>
      </c>
      <c r="D39" t="s">
        <v>22</v>
      </c>
      <c r="E39" t="s">
        <v>166</v>
      </c>
      <c r="F39" t="s">
        <v>80</v>
      </c>
      <c r="G39" t="s">
        <v>141</v>
      </c>
      <c r="H39" t="s">
        <v>167</v>
      </c>
      <c r="I39" t="s">
        <v>168</v>
      </c>
      <c r="J39" t="s">
        <v>28</v>
      </c>
      <c r="K39" t="s">
        <v>169</v>
      </c>
      <c r="L39" t="s">
        <v>30</v>
      </c>
      <c r="M39" s="2" t="s">
        <v>30</v>
      </c>
    </row>
    <row r="40" spans="1:19" x14ac:dyDescent="0.25">
      <c r="A40" t="s">
        <v>19</v>
      </c>
      <c r="B40" t="s">
        <v>20</v>
      </c>
      <c r="C40" t="s">
        <v>165</v>
      </c>
      <c r="D40" t="s">
        <v>22</v>
      </c>
      <c r="E40" t="s">
        <v>166</v>
      </c>
      <c r="F40" t="s">
        <v>80</v>
      </c>
      <c r="G40" t="s">
        <v>141</v>
      </c>
      <c r="H40" t="s">
        <v>170</v>
      </c>
      <c r="I40" t="s">
        <v>171</v>
      </c>
      <c r="J40" t="s">
        <v>28</v>
      </c>
      <c r="K40" t="s">
        <v>169</v>
      </c>
      <c r="L40" t="s">
        <v>30</v>
      </c>
      <c r="M40" s="2" t="s">
        <v>30</v>
      </c>
    </row>
    <row r="41" spans="1:19" x14ac:dyDescent="0.25">
      <c r="A41" t="s">
        <v>19</v>
      </c>
      <c r="B41" t="s">
        <v>20</v>
      </c>
      <c r="C41" t="s">
        <v>165</v>
      </c>
      <c r="D41" t="s">
        <v>22</v>
      </c>
      <c r="E41" t="s">
        <v>166</v>
      </c>
      <c r="F41" t="s">
        <v>80</v>
      </c>
      <c r="G41" t="s">
        <v>141</v>
      </c>
      <c r="H41" t="s">
        <v>172</v>
      </c>
      <c r="I41" t="s">
        <v>173</v>
      </c>
      <c r="J41" t="s">
        <v>28</v>
      </c>
      <c r="K41" t="s">
        <v>174</v>
      </c>
      <c r="L41" t="s">
        <v>30</v>
      </c>
      <c r="M41" s="2" t="s">
        <v>30</v>
      </c>
      <c r="O41" t="s">
        <v>175</v>
      </c>
      <c r="Q41" t="s">
        <v>176</v>
      </c>
      <c r="R41" t="s">
        <v>177</v>
      </c>
      <c r="S41" t="s">
        <v>178</v>
      </c>
    </row>
    <row r="42" spans="1:19" x14ac:dyDescent="0.25">
      <c r="A42" t="s">
        <v>19</v>
      </c>
      <c r="B42" t="s">
        <v>20</v>
      </c>
      <c r="C42" t="s">
        <v>165</v>
      </c>
      <c r="D42" t="s">
        <v>22</v>
      </c>
      <c r="E42" t="s">
        <v>166</v>
      </c>
      <c r="F42" t="s">
        <v>80</v>
      </c>
      <c r="G42" t="s">
        <v>141</v>
      </c>
      <c r="H42" s="97" t="s">
        <v>179</v>
      </c>
      <c r="I42" t="s">
        <v>180</v>
      </c>
      <c r="J42" t="s">
        <v>28</v>
      </c>
      <c r="K42" t="s">
        <v>169</v>
      </c>
      <c r="L42" t="s">
        <v>30</v>
      </c>
      <c r="M42" s="2" t="s">
        <v>30</v>
      </c>
      <c r="N42" t="s">
        <v>3520</v>
      </c>
      <c r="O42" s="133" t="s">
        <v>3532</v>
      </c>
    </row>
    <row r="43" spans="1:19" s="83" customFormat="1" x14ac:dyDescent="0.25">
      <c r="A43" s="83" t="s">
        <v>19</v>
      </c>
      <c r="B43" s="83" t="s">
        <v>20</v>
      </c>
      <c r="C43" s="83" t="s">
        <v>165</v>
      </c>
      <c r="D43" s="83" t="s">
        <v>22</v>
      </c>
      <c r="E43" s="83" t="s">
        <v>166</v>
      </c>
      <c r="F43" s="83" t="s">
        <v>80</v>
      </c>
      <c r="G43" s="83" t="s">
        <v>141</v>
      </c>
      <c r="H43" s="83" t="s">
        <v>184</v>
      </c>
      <c r="I43" s="83" t="s">
        <v>185</v>
      </c>
      <c r="J43" s="83" t="s">
        <v>28</v>
      </c>
      <c r="K43" s="83" t="s">
        <v>169</v>
      </c>
      <c r="L43" t="s">
        <v>30</v>
      </c>
      <c r="M43" s="2" t="s">
        <v>30</v>
      </c>
      <c r="N43" s="83" t="s">
        <v>22</v>
      </c>
      <c r="O43" s="134"/>
      <c r="R43" s="83" t="s">
        <v>177</v>
      </c>
      <c r="S43" s="83" t="s">
        <v>178</v>
      </c>
    </row>
    <row r="44" spans="1:19" x14ac:dyDescent="0.25">
      <c r="A44" t="s">
        <v>19</v>
      </c>
      <c r="B44" t="s">
        <v>20</v>
      </c>
      <c r="C44" t="s">
        <v>188</v>
      </c>
      <c r="D44" t="s">
        <v>78</v>
      </c>
      <c r="E44" t="s">
        <v>189</v>
      </c>
      <c r="F44" t="s">
        <v>80</v>
      </c>
      <c r="G44" t="s">
        <v>190</v>
      </c>
      <c r="H44" t="s">
        <v>191</v>
      </c>
      <c r="I44" t="s">
        <v>192</v>
      </c>
      <c r="J44" t="s">
        <v>28</v>
      </c>
      <c r="K44" t="s">
        <v>169</v>
      </c>
      <c r="L44" t="s">
        <v>30</v>
      </c>
      <c r="M44" s="2" t="s">
        <v>30</v>
      </c>
    </row>
    <row r="45" spans="1:19" x14ac:dyDescent="0.25">
      <c r="A45" t="s">
        <v>19</v>
      </c>
      <c r="B45" t="s">
        <v>20</v>
      </c>
      <c r="C45" t="s">
        <v>188</v>
      </c>
      <c r="D45" t="s">
        <v>78</v>
      </c>
      <c r="E45" t="s">
        <v>189</v>
      </c>
      <c r="F45" t="s">
        <v>80</v>
      </c>
      <c r="G45" t="s">
        <v>190</v>
      </c>
      <c r="H45" t="s">
        <v>193</v>
      </c>
      <c r="I45" t="s">
        <v>194</v>
      </c>
      <c r="J45" t="s">
        <v>28</v>
      </c>
      <c r="K45" t="s">
        <v>169</v>
      </c>
      <c r="L45" t="s">
        <v>52</v>
      </c>
      <c r="M45" s="3" t="s">
        <v>52</v>
      </c>
    </row>
    <row r="46" spans="1:19" x14ac:dyDescent="0.25">
      <c r="A46" t="s">
        <v>19</v>
      </c>
      <c r="B46" t="s">
        <v>20</v>
      </c>
      <c r="C46" t="s">
        <v>195</v>
      </c>
      <c r="D46" t="s">
        <v>22</v>
      </c>
      <c r="E46" t="s">
        <v>196</v>
      </c>
      <c r="F46" t="s">
        <v>80</v>
      </c>
      <c r="G46" t="s">
        <v>115</v>
      </c>
      <c r="H46" t="s">
        <v>197</v>
      </c>
      <c r="I46" t="s">
        <v>198</v>
      </c>
      <c r="J46" t="s">
        <v>28</v>
      </c>
      <c r="K46" t="s">
        <v>169</v>
      </c>
      <c r="L46" t="s">
        <v>30</v>
      </c>
      <c r="M46" s="2" t="s">
        <v>30</v>
      </c>
    </row>
    <row r="47" spans="1:19" x14ac:dyDescent="0.25">
      <c r="A47" t="s">
        <v>19</v>
      </c>
      <c r="B47" t="s">
        <v>20</v>
      </c>
      <c r="C47" t="s">
        <v>195</v>
      </c>
      <c r="D47" t="s">
        <v>22</v>
      </c>
      <c r="E47" t="s">
        <v>196</v>
      </c>
      <c r="F47" t="s">
        <v>80</v>
      </c>
      <c r="G47" t="s">
        <v>115</v>
      </c>
      <c r="H47" t="s">
        <v>199</v>
      </c>
      <c r="I47" t="s">
        <v>200</v>
      </c>
      <c r="J47" t="s">
        <v>28</v>
      </c>
      <c r="K47" t="s">
        <v>169</v>
      </c>
      <c r="L47" t="s">
        <v>52</v>
      </c>
      <c r="M47" s="3" t="s">
        <v>52</v>
      </c>
      <c r="O47" t="s">
        <v>201</v>
      </c>
    </row>
    <row r="48" spans="1:19" x14ac:dyDescent="0.25">
      <c r="A48" t="s">
        <v>19</v>
      </c>
      <c r="B48" t="s">
        <v>20</v>
      </c>
      <c r="C48" t="s">
        <v>195</v>
      </c>
      <c r="D48" t="s">
        <v>22</v>
      </c>
      <c r="E48" t="s">
        <v>196</v>
      </c>
      <c r="F48" t="s">
        <v>80</v>
      </c>
      <c r="G48" t="s">
        <v>115</v>
      </c>
      <c r="H48" t="s">
        <v>202</v>
      </c>
      <c r="I48" t="s">
        <v>203</v>
      </c>
      <c r="J48" t="s">
        <v>28</v>
      </c>
      <c r="K48" t="s">
        <v>33</v>
      </c>
      <c r="L48" t="s">
        <v>30</v>
      </c>
      <c r="M48" s="2" t="s">
        <v>30</v>
      </c>
    </row>
    <row r="49" spans="1:19" x14ac:dyDescent="0.25">
      <c r="A49" t="s">
        <v>19</v>
      </c>
      <c r="B49" t="s">
        <v>20</v>
      </c>
      <c r="C49" t="s">
        <v>195</v>
      </c>
      <c r="D49" t="s">
        <v>22</v>
      </c>
      <c r="E49" t="s">
        <v>196</v>
      </c>
      <c r="F49" t="s">
        <v>80</v>
      </c>
      <c r="G49" t="s">
        <v>115</v>
      </c>
      <c r="H49" t="s">
        <v>204</v>
      </c>
      <c r="I49" t="s">
        <v>205</v>
      </c>
      <c r="J49" t="s">
        <v>28</v>
      </c>
      <c r="K49" t="s">
        <v>33</v>
      </c>
      <c r="L49" t="s">
        <v>52</v>
      </c>
      <c r="M49" s="3" t="s">
        <v>52</v>
      </c>
    </row>
    <row r="50" spans="1:19" x14ac:dyDescent="0.25">
      <c r="A50" t="s">
        <v>19</v>
      </c>
      <c r="B50" t="s">
        <v>20</v>
      </c>
      <c r="C50" t="s">
        <v>206</v>
      </c>
      <c r="D50" t="s">
        <v>22</v>
      </c>
      <c r="E50" t="s">
        <v>207</v>
      </c>
      <c r="F50" t="s">
        <v>80</v>
      </c>
      <c r="G50" t="s">
        <v>115</v>
      </c>
      <c r="H50" t="s">
        <v>208</v>
      </c>
      <c r="I50" t="s">
        <v>209</v>
      </c>
      <c r="J50" t="s">
        <v>28</v>
      </c>
      <c r="K50" t="s">
        <v>169</v>
      </c>
      <c r="L50" t="s">
        <v>30</v>
      </c>
      <c r="M50" s="2" t="s">
        <v>30</v>
      </c>
    </row>
    <row r="51" spans="1:19" x14ac:dyDescent="0.25">
      <c r="A51" t="s">
        <v>19</v>
      </c>
      <c r="B51" t="s">
        <v>20</v>
      </c>
      <c r="C51" t="s">
        <v>206</v>
      </c>
      <c r="D51" t="s">
        <v>22</v>
      </c>
      <c r="E51" t="s">
        <v>207</v>
      </c>
      <c r="F51" t="s">
        <v>80</v>
      </c>
      <c r="G51" t="s">
        <v>115</v>
      </c>
      <c r="H51" t="s">
        <v>210</v>
      </c>
      <c r="I51" t="s">
        <v>200</v>
      </c>
      <c r="J51" t="s">
        <v>28</v>
      </c>
      <c r="K51" t="s">
        <v>169</v>
      </c>
      <c r="L51" t="s">
        <v>30</v>
      </c>
      <c r="M51" s="2" t="s">
        <v>30</v>
      </c>
    </row>
    <row r="52" spans="1:19" x14ac:dyDescent="0.25">
      <c r="A52" t="s">
        <v>19</v>
      </c>
      <c r="B52" t="s">
        <v>20</v>
      </c>
      <c r="C52" t="s">
        <v>206</v>
      </c>
      <c r="D52" t="s">
        <v>22</v>
      </c>
      <c r="E52" t="s">
        <v>207</v>
      </c>
      <c r="F52" t="s">
        <v>80</v>
      </c>
      <c r="G52" t="s">
        <v>115</v>
      </c>
      <c r="H52" t="s">
        <v>211</v>
      </c>
      <c r="I52" t="s">
        <v>212</v>
      </c>
      <c r="J52" t="s">
        <v>28</v>
      </c>
      <c r="K52" t="s">
        <v>152</v>
      </c>
      <c r="L52" t="s">
        <v>30</v>
      </c>
      <c r="M52" s="2" t="s">
        <v>30</v>
      </c>
      <c r="O52" t="s">
        <v>213</v>
      </c>
      <c r="R52" t="s">
        <v>152</v>
      </c>
      <c r="S52" t="s">
        <v>214</v>
      </c>
    </row>
    <row r="53" spans="1:19" x14ac:dyDescent="0.25">
      <c r="A53" t="s">
        <v>19</v>
      </c>
      <c r="B53" t="s">
        <v>20</v>
      </c>
      <c r="C53" t="s">
        <v>206</v>
      </c>
      <c r="D53" t="s">
        <v>22</v>
      </c>
      <c r="E53" t="s">
        <v>207</v>
      </c>
      <c r="F53" t="s">
        <v>80</v>
      </c>
      <c r="G53" t="s">
        <v>115</v>
      </c>
      <c r="H53" t="s">
        <v>215</v>
      </c>
      <c r="I53" t="s">
        <v>216</v>
      </c>
      <c r="J53" t="s">
        <v>28</v>
      </c>
      <c r="K53" t="s">
        <v>33</v>
      </c>
      <c r="L53" t="s">
        <v>52</v>
      </c>
      <c r="M53" s="3" t="s">
        <v>52</v>
      </c>
    </row>
    <row r="54" spans="1:19" x14ac:dyDescent="0.25">
      <c r="A54" t="s">
        <v>19</v>
      </c>
      <c r="B54" t="s">
        <v>20</v>
      </c>
      <c r="C54" t="s">
        <v>217</v>
      </c>
      <c r="D54" t="s">
        <v>22</v>
      </c>
      <c r="E54" t="s">
        <v>218</v>
      </c>
      <c r="F54" t="s">
        <v>80</v>
      </c>
      <c r="G54" t="s">
        <v>115</v>
      </c>
      <c r="H54" t="s">
        <v>219</v>
      </c>
      <c r="I54" t="s">
        <v>220</v>
      </c>
      <c r="J54" t="s">
        <v>28</v>
      </c>
      <c r="K54" t="s">
        <v>65</v>
      </c>
      <c r="L54" t="s">
        <v>30</v>
      </c>
      <c r="M54" s="2" t="s">
        <v>30</v>
      </c>
    </row>
    <row r="55" spans="1:19" x14ac:dyDescent="0.25">
      <c r="A55" t="s">
        <v>19</v>
      </c>
      <c r="B55" t="s">
        <v>20</v>
      </c>
      <c r="C55" t="s">
        <v>217</v>
      </c>
      <c r="D55" t="s">
        <v>22</v>
      </c>
      <c r="E55" t="s">
        <v>218</v>
      </c>
      <c r="F55" t="s">
        <v>80</v>
      </c>
      <c r="G55" t="s">
        <v>115</v>
      </c>
      <c r="H55" t="s">
        <v>221</v>
      </c>
      <c r="I55" t="s">
        <v>222</v>
      </c>
      <c r="J55" t="s">
        <v>28</v>
      </c>
      <c r="K55" t="s">
        <v>65</v>
      </c>
      <c r="L55" t="s">
        <v>30</v>
      </c>
      <c r="M55" s="2" t="s">
        <v>30</v>
      </c>
    </row>
    <row r="56" spans="1:19" x14ac:dyDescent="0.25">
      <c r="A56" t="s">
        <v>19</v>
      </c>
      <c r="B56" t="s">
        <v>20</v>
      </c>
      <c r="C56" t="s">
        <v>217</v>
      </c>
      <c r="D56" t="s">
        <v>22</v>
      </c>
      <c r="E56" t="s">
        <v>218</v>
      </c>
      <c r="F56" t="s">
        <v>80</v>
      </c>
      <c r="G56" t="s">
        <v>115</v>
      </c>
      <c r="H56" t="s">
        <v>223</v>
      </c>
      <c r="I56" t="s">
        <v>224</v>
      </c>
      <c r="J56" t="s">
        <v>28</v>
      </c>
      <c r="K56" t="s">
        <v>65</v>
      </c>
      <c r="L56" t="s">
        <v>30</v>
      </c>
      <c r="M56" s="2" t="s">
        <v>30</v>
      </c>
    </row>
    <row r="57" spans="1:19" x14ac:dyDescent="0.25">
      <c r="A57" t="s">
        <v>19</v>
      </c>
      <c r="B57" t="s">
        <v>20</v>
      </c>
      <c r="C57" t="s">
        <v>225</v>
      </c>
      <c r="D57" t="s">
        <v>78</v>
      </c>
      <c r="E57" t="s">
        <v>226</v>
      </c>
      <c r="F57" t="s">
        <v>61</v>
      </c>
      <c r="G57" t="s">
        <v>62</v>
      </c>
      <c r="H57" t="s">
        <v>227</v>
      </c>
      <c r="I57" t="s">
        <v>228</v>
      </c>
      <c r="J57" t="s">
        <v>28</v>
      </c>
      <c r="K57" t="s">
        <v>152</v>
      </c>
      <c r="L57" t="s">
        <v>30</v>
      </c>
      <c r="M57" s="2" t="s">
        <v>30</v>
      </c>
      <c r="O57" t="s">
        <v>229</v>
      </c>
      <c r="R57" t="s">
        <v>152</v>
      </c>
      <c r="S57" t="s">
        <v>214</v>
      </c>
    </row>
    <row r="58" spans="1:19" x14ac:dyDescent="0.25">
      <c r="A58" t="s">
        <v>19</v>
      </c>
      <c r="B58" t="s">
        <v>20</v>
      </c>
      <c r="C58" t="s">
        <v>225</v>
      </c>
      <c r="D58" t="s">
        <v>78</v>
      </c>
      <c r="E58" t="s">
        <v>226</v>
      </c>
      <c r="F58" t="s">
        <v>61</v>
      </c>
      <c r="G58" t="s">
        <v>62</v>
      </c>
      <c r="H58" t="s">
        <v>230</v>
      </c>
      <c r="I58" t="s">
        <v>231</v>
      </c>
      <c r="J58" t="s">
        <v>28</v>
      </c>
      <c r="K58" t="s">
        <v>152</v>
      </c>
      <c r="L58" t="s">
        <v>30</v>
      </c>
      <c r="M58" s="2" t="s">
        <v>30</v>
      </c>
      <c r="O58" t="s">
        <v>229</v>
      </c>
      <c r="R58" t="s">
        <v>152</v>
      </c>
      <c r="S58" t="s">
        <v>214</v>
      </c>
    </row>
    <row r="59" spans="1:19" x14ac:dyDescent="0.25">
      <c r="A59" t="s">
        <v>19</v>
      </c>
      <c r="B59" t="s">
        <v>20</v>
      </c>
      <c r="C59" t="s">
        <v>232</v>
      </c>
      <c r="D59" t="s">
        <v>22</v>
      </c>
      <c r="E59" t="s">
        <v>233</v>
      </c>
      <c r="F59" t="s">
        <v>61</v>
      </c>
      <c r="G59" t="s">
        <v>62</v>
      </c>
      <c r="H59" t="s">
        <v>234</v>
      </c>
      <c r="I59" t="s">
        <v>235</v>
      </c>
      <c r="J59" t="s">
        <v>28</v>
      </c>
      <c r="K59" t="s">
        <v>174</v>
      </c>
      <c r="L59" t="s">
        <v>30</v>
      </c>
      <c r="M59" s="2" t="s">
        <v>30</v>
      </c>
      <c r="O59" t="s">
        <v>236</v>
      </c>
      <c r="R59" t="s">
        <v>177</v>
      </c>
      <c r="S59" t="s">
        <v>237</v>
      </c>
    </row>
    <row r="60" spans="1:19" x14ac:dyDescent="0.25">
      <c r="A60" t="s">
        <v>19</v>
      </c>
      <c r="B60" t="s">
        <v>20</v>
      </c>
      <c r="C60" t="s">
        <v>232</v>
      </c>
      <c r="D60" t="s">
        <v>22</v>
      </c>
      <c r="E60" t="s">
        <v>233</v>
      </c>
      <c r="F60" t="s">
        <v>61</v>
      </c>
      <c r="G60" t="s">
        <v>62</v>
      </c>
      <c r="H60" t="s">
        <v>238</v>
      </c>
      <c r="I60" t="s">
        <v>239</v>
      </c>
      <c r="J60" t="s">
        <v>28</v>
      </c>
      <c r="K60" t="s">
        <v>174</v>
      </c>
      <c r="L60" t="s">
        <v>30</v>
      </c>
      <c r="M60" s="2" t="s">
        <v>30</v>
      </c>
      <c r="O60" t="s">
        <v>236</v>
      </c>
      <c r="R60" t="s">
        <v>120</v>
      </c>
      <c r="S60" t="s">
        <v>240</v>
      </c>
    </row>
    <row r="61" spans="1:19" x14ac:dyDescent="0.25">
      <c r="A61" t="s">
        <v>19</v>
      </c>
      <c r="B61" t="s">
        <v>20</v>
      </c>
      <c r="C61" t="s">
        <v>232</v>
      </c>
      <c r="D61" t="s">
        <v>22</v>
      </c>
      <c r="E61" t="s">
        <v>233</v>
      </c>
      <c r="F61" t="s">
        <v>61</v>
      </c>
      <c r="G61" t="s">
        <v>62</v>
      </c>
      <c r="H61" t="s">
        <v>241</v>
      </c>
      <c r="I61" t="s">
        <v>242</v>
      </c>
      <c r="J61" t="s">
        <v>28</v>
      </c>
      <c r="K61" t="s">
        <v>152</v>
      </c>
      <c r="L61" t="s">
        <v>30</v>
      </c>
      <c r="M61" s="2" t="s">
        <v>30</v>
      </c>
      <c r="O61" t="s">
        <v>243</v>
      </c>
      <c r="R61" t="s">
        <v>152</v>
      </c>
      <c r="S61" t="s">
        <v>244</v>
      </c>
    </row>
    <row r="62" spans="1:19" x14ac:dyDescent="0.25">
      <c r="A62" t="s">
        <v>19</v>
      </c>
      <c r="B62" t="s">
        <v>20</v>
      </c>
      <c r="C62" t="s">
        <v>232</v>
      </c>
      <c r="D62" t="s">
        <v>22</v>
      </c>
      <c r="E62" t="s">
        <v>233</v>
      </c>
      <c r="F62" t="s">
        <v>61</v>
      </c>
      <c r="G62" t="s">
        <v>62</v>
      </c>
      <c r="H62" t="s">
        <v>245</v>
      </c>
      <c r="I62" t="s">
        <v>246</v>
      </c>
      <c r="J62" t="s">
        <v>28</v>
      </c>
      <c r="K62" t="s">
        <v>152</v>
      </c>
      <c r="L62" t="s">
        <v>30</v>
      </c>
      <c r="M62" s="2" t="s">
        <v>30</v>
      </c>
      <c r="O62" t="s">
        <v>243</v>
      </c>
      <c r="R62" t="s">
        <v>152</v>
      </c>
      <c r="S62" t="s">
        <v>244</v>
      </c>
    </row>
    <row r="63" spans="1:19" x14ac:dyDescent="0.25">
      <c r="A63" t="s">
        <v>19</v>
      </c>
      <c r="B63" t="s">
        <v>20</v>
      </c>
      <c r="C63" t="s">
        <v>247</v>
      </c>
      <c r="D63" t="s">
        <v>22</v>
      </c>
      <c r="E63" t="s">
        <v>248</v>
      </c>
      <c r="F63" t="s">
        <v>61</v>
      </c>
      <c r="G63" t="s">
        <v>190</v>
      </c>
      <c r="H63" t="s">
        <v>249</v>
      </c>
      <c r="I63" t="s">
        <v>250</v>
      </c>
      <c r="J63" t="s">
        <v>28</v>
      </c>
      <c r="K63" t="s">
        <v>251</v>
      </c>
      <c r="L63" t="s">
        <v>30</v>
      </c>
      <c r="M63" s="2" t="s">
        <v>30</v>
      </c>
      <c r="R63" t="s">
        <v>87</v>
      </c>
    </row>
    <row r="64" spans="1:19" x14ac:dyDescent="0.25">
      <c r="A64" t="s">
        <v>19</v>
      </c>
      <c r="B64" t="s">
        <v>20</v>
      </c>
      <c r="C64" t="s">
        <v>247</v>
      </c>
      <c r="D64" t="s">
        <v>22</v>
      </c>
      <c r="E64" t="s">
        <v>248</v>
      </c>
      <c r="F64" t="s">
        <v>61</v>
      </c>
      <c r="G64" t="s">
        <v>190</v>
      </c>
      <c r="H64" t="s">
        <v>252</v>
      </c>
      <c r="I64" t="s">
        <v>253</v>
      </c>
      <c r="J64" t="s">
        <v>28</v>
      </c>
      <c r="K64" t="s">
        <v>251</v>
      </c>
      <c r="L64" t="s">
        <v>30</v>
      </c>
      <c r="M64" s="2" t="s">
        <v>30</v>
      </c>
      <c r="R64" t="s">
        <v>87</v>
      </c>
    </row>
    <row r="65" spans="1:18" x14ac:dyDescent="0.25">
      <c r="A65" t="s">
        <v>19</v>
      </c>
      <c r="B65" t="s">
        <v>20</v>
      </c>
      <c r="C65" t="s">
        <v>247</v>
      </c>
      <c r="D65" t="s">
        <v>22</v>
      </c>
      <c r="E65" t="s">
        <v>248</v>
      </c>
      <c r="F65" t="s">
        <v>61</v>
      </c>
      <c r="G65" t="s">
        <v>190</v>
      </c>
      <c r="H65" t="s">
        <v>254</v>
      </c>
      <c r="I65" t="s">
        <v>255</v>
      </c>
      <c r="J65" t="s">
        <v>28</v>
      </c>
      <c r="K65" t="s">
        <v>256</v>
      </c>
      <c r="L65" t="s">
        <v>30</v>
      </c>
      <c r="M65" s="2" t="s">
        <v>30</v>
      </c>
      <c r="O65" t="s">
        <v>257</v>
      </c>
      <c r="R65" t="s">
        <v>87</v>
      </c>
    </row>
    <row r="66" spans="1:18" x14ac:dyDescent="0.25">
      <c r="A66" t="s">
        <v>19</v>
      </c>
      <c r="B66" t="s">
        <v>20</v>
      </c>
      <c r="C66" t="s">
        <v>247</v>
      </c>
      <c r="D66" t="s">
        <v>22</v>
      </c>
      <c r="E66" t="s">
        <v>248</v>
      </c>
      <c r="F66" t="s">
        <v>61</v>
      </c>
      <c r="G66" t="s">
        <v>190</v>
      </c>
      <c r="H66" t="s">
        <v>258</v>
      </c>
      <c r="I66" t="s">
        <v>259</v>
      </c>
      <c r="J66" t="s">
        <v>28</v>
      </c>
      <c r="K66" t="s">
        <v>260</v>
      </c>
      <c r="L66" t="s">
        <v>52</v>
      </c>
      <c r="M66" s="3" t="s">
        <v>52</v>
      </c>
    </row>
    <row r="67" spans="1:18" x14ac:dyDescent="0.25">
      <c r="A67" t="s">
        <v>19</v>
      </c>
      <c r="B67" t="s">
        <v>20</v>
      </c>
      <c r="C67" t="s">
        <v>261</v>
      </c>
      <c r="D67" t="s">
        <v>22</v>
      </c>
      <c r="E67" t="s">
        <v>262</v>
      </c>
      <c r="F67" t="s">
        <v>61</v>
      </c>
      <c r="G67" t="s">
        <v>263</v>
      </c>
      <c r="H67" t="s">
        <v>264</v>
      </c>
      <c r="I67" t="s">
        <v>265</v>
      </c>
      <c r="J67" t="s">
        <v>28</v>
      </c>
      <c r="K67" t="s">
        <v>169</v>
      </c>
      <c r="L67" t="s">
        <v>30</v>
      </c>
      <c r="M67" s="2" t="s">
        <v>30</v>
      </c>
    </row>
    <row r="68" spans="1:18" x14ac:dyDescent="0.25">
      <c r="A68" t="s">
        <v>19</v>
      </c>
      <c r="B68" t="s">
        <v>20</v>
      </c>
      <c r="C68" t="s">
        <v>261</v>
      </c>
      <c r="D68" t="s">
        <v>22</v>
      </c>
      <c r="E68" t="s">
        <v>262</v>
      </c>
      <c r="F68" t="s">
        <v>61</v>
      </c>
      <c r="G68" t="s">
        <v>263</v>
      </c>
      <c r="H68" t="s">
        <v>266</v>
      </c>
      <c r="I68" t="s">
        <v>267</v>
      </c>
      <c r="J68" t="s">
        <v>28</v>
      </c>
      <c r="K68" t="s">
        <v>169</v>
      </c>
      <c r="L68" t="s">
        <v>30</v>
      </c>
      <c r="M68" s="2" t="s">
        <v>30</v>
      </c>
      <c r="O68" t="s">
        <v>268</v>
      </c>
    </row>
    <row r="69" spans="1:18" x14ac:dyDescent="0.25">
      <c r="A69" t="s">
        <v>19</v>
      </c>
      <c r="B69" t="s">
        <v>20</v>
      </c>
      <c r="C69" t="s">
        <v>261</v>
      </c>
      <c r="D69" t="s">
        <v>22</v>
      </c>
      <c r="E69" t="s">
        <v>262</v>
      </c>
      <c r="F69" t="s">
        <v>61</v>
      </c>
      <c r="G69" t="s">
        <v>263</v>
      </c>
      <c r="H69" t="s">
        <v>269</v>
      </c>
      <c r="I69" t="s">
        <v>270</v>
      </c>
      <c r="J69" t="s">
        <v>28</v>
      </c>
      <c r="K69" t="s">
        <v>169</v>
      </c>
      <c r="L69" t="s">
        <v>30</v>
      </c>
      <c r="M69" s="2" t="s">
        <v>30</v>
      </c>
    </row>
    <row r="70" spans="1:18" x14ac:dyDescent="0.25">
      <c r="A70" t="s">
        <v>19</v>
      </c>
      <c r="B70" t="s">
        <v>20</v>
      </c>
      <c r="C70" t="s">
        <v>261</v>
      </c>
      <c r="D70" t="s">
        <v>22</v>
      </c>
      <c r="E70" t="s">
        <v>262</v>
      </c>
      <c r="F70" t="s">
        <v>61</v>
      </c>
      <c r="G70" t="s">
        <v>263</v>
      </c>
      <c r="H70" t="s">
        <v>271</v>
      </c>
      <c r="I70" t="s">
        <v>272</v>
      </c>
      <c r="J70" t="s">
        <v>28</v>
      </c>
      <c r="K70" t="s">
        <v>33</v>
      </c>
      <c r="L70" t="s">
        <v>52</v>
      </c>
      <c r="M70" s="3" t="s">
        <v>52</v>
      </c>
      <c r="O70" t="s">
        <v>273</v>
      </c>
    </row>
    <row r="71" spans="1:18" x14ac:dyDescent="0.25">
      <c r="A71" t="s">
        <v>19</v>
      </c>
      <c r="B71" t="s">
        <v>20</v>
      </c>
      <c r="C71" t="s">
        <v>274</v>
      </c>
      <c r="D71" t="s">
        <v>22</v>
      </c>
      <c r="E71" t="s">
        <v>275</v>
      </c>
      <c r="F71" t="s">
        <v>61</v>
      </c>
      <c r="G71" t="s">
        <v>141</v>
      </c>
      <c r="H71" t="s">
        <v>276</v>
      </c>
      <c r="I71" t="s">
        <v>277</v>
      </c>
      <c r="J71" t="s">
        <v>28</v>
      </c>
      <c r="K71" t="s">
        <v>169</v>
      </c>
      <c r="L71" t="s">
        <v>30</v>
      </c>
      <c r="M71" s="2" t="s">
        <v>30</v>
      </c>
    </row>
    <row r="72" spans="1:18" x14ac:dyDescent="0.25">
      <c r="A72" t="s">
        <v>19</v>
      </c>
      <c r="B72" t="s">
        <v>20</v>
      </c>
      <c r="C72" t="s">
        <v>274</v>
      </c>
      <c r="D72" t="s">
        <v>22</v>
      </c>
      <c r="E72" t="s">
        <v>275</v>
      </c>
      <c r="F72" t="s">
        <v>61</v>
      </c>
      <c r="G72" t="s">
        <v>141</v>
      </c>
      <c r="H72" t="s">
        <v>278</v>
      </c>
      <c r="I72" t="s">
        <v>279</v>
      </c>
      <c r="J72" t="s">
        <v>28</v>
      </c>
      <c r="K72" t="s">
        <v>169</v>
      </c>
      <c r="L72" t="s">
        <v>30</v>
      </c>
      <c r="M72" s="2" t="s">
        <v>30</v>
      </c>
    </row>
    <row r="73" spans="1:18" x14ac:dyDescent="0.25">
      <c r="A73" t="s">
        <v>19</v>
      </c>
      <c r="B73" t="s">
        <v>20</v>
      </c>
      <c r="C73" t="s">
        <v>274</v>
      </c>
      <c r="D73" t="s">
        <v>22</v>
      </c>
      <c r="E73" t="s">
        <v>275</v>
      </c>
      <c r="F73" t="s">
        <v>61</v>
      </c>
      <c r="G73" t="s">
        <v>141</v>
      </c>
      <c r="H73" s="97" t="s">
        <v>280</v>
      </c>
      <c r="I73" t="s">
        <v>281</v>
      </c>
      <c r="J73" t="s">
        <v>28</v>
      </c>
      <c r="K73" t="s">
        <v>33</v>
      </c>
      <c r="L73" t="s">
        <v>30</v>
      </c>
      <c r="M73" s="2" t="s">
        <v>30</v>
      </c>
      <c r="N73" t="s">
        <v>3491</v>
      </c>
      <c r="O73" s="104" t="s">
        <v>3532</v>
      </c>
      <c r="P73" t="s">
        <v>126</v>
      </c>
    </row>
    <row r="74" spans="1:18" x14ac:dyDescent="0.25">
      <c r="A74" t="s">
        <v>19</v>
      </c>
      <c r="B74" t="s">
        <v>20</v>
      </c>
      <c r="C74" t="s">
        <v>282</v>
      </c>
      <c r="D74" t="s">
        <v>22</v>
      </c>
      <c r="E74" t="s">
        <v>283</v>
      </c>
      <c r="F74" t="s">
        <v>61</v>
      </c>
      <c r="G74" t="s">
        <v>115</v>
      </c>
      <c r="H74" t="s">
        <v>284</v>
      </c>
      <c r="I74" t="s">
        <v>285</v>
      </c>
      <c r="J74" t="s">
        <v>28</v>
      </c>
      <c r="K74" t="s">
        <v>169</v>
      </c>
      <c r="L74" t="s">
        <v>30</v>
      </c>
      <c r="M74" s="2" t="s">
        <v>30</v>
      </c>
    </row>
    <row r="75" spans="1:18" x14ac:dyDescent="0.25">
      <c r="A75" t="s">
        <v>19</v>
      </c>
      <c r="B75" t="s">
        <v>20</v>
      </c>
      <c r="C75" t="s">
        <v>282</v>
      </c>
      <c r="D75" t="s">
        <v>22</v>
      </c>
      <c r="E75" t="s">
        <v>283</v>
      </c>
      <c r="F75" t="s">
        <v>61</v>
      </c>
      <c r="G75" t="s">
        <v>115</v>
      </c>
      <c r="H75" t="s">
        <v>286</v>
      </c>
      <c r="I75" t="s">
        <v>287</v>
      </c>
      <c r="J75" t="s">
        <v>28</v>
      </c>
      <c r="K75" t="s">
        <v>169</v>
      </c>
      <c r="L75" t="s">
        <v>30</v>
      </c>
      <c r="M75" s="2" t="s">
        <v>30</v>
      </c>
    </row>
    <row r="76" spans="1:18" x14ac:dyDescent="0.25">
      <c r="A76" t="s">
        <v>19</v>
      </c>
      <c r="B76" t="s">
        <v>20</v>
      </c>
      <c r="C76" t="s">
        <v>282</v>
      </c>
      <c r="D76" t="s">
        <v>22</v>
      </c>
      <c r="E76" t="s">
        <v>283</v>
      </c>
      <c r="F76" t="s">
        <v>61</v>
      </c>
      <c r="G76" t="s">
        <v>115</v>
      </c>
      <c r="H76" s="97" t="s">
        <v>288</v>
      </c>
      <c r="I76" t="s">
        <v>289</v>
      </c>
      <c r="J76" t="s">
        <v>28</v>
      </c>
      <c r="K76" t="s">
        <v>33</v>
      </c>
      <c r="L76" t="s">
        <v>30</v>
      </c>
      <c r="M76" s="2" t="s">
        <v>30</v>
      </c>
      <c r="N76" t="s">
        <v>3492</v>
      </c>
      <c r="O76" s="105" t="s">
        <v>3533</v>
      </c>
      <c r="P76" t="s">
        <v>126</v>
      </c>
    </row>
    <row r="77" spans="1:18" x14ac:dyDescent="0.25">
      <c r="A77" t="s">
        <v>19</v>
      </c>
      <c r="B77" t="s">
        <v>20</v>
      </c>
      <c r="C77" t="s">
        <v>290</v>
      </c>
      <c r="D77" t="s">
        <v>22</v>
      </c>
      <c r="E77" t="s">
        <v>291</v>
      </c>
      <c r="F77" t="s">
        <v>61</v>
      </c>
      <c r="G77" t="s">
        <v>292</v>
      </c>
      <c r="H77" t="s">
        <v>293</v>
      </c>
      <c r="I77" t="s">
        <v>294</v>
      </c>
      <c r="J77" t="s">
        <v>28</v>
      </c>
      <c r="K77" t="s">
        <v>169</v>
      </c>
      <c r="L77" t="s">
        <v>30</v>
      </c>
      <c r="M77" s="2" t="s">
        <v>30</v>
      </c>
    </row>
    <row r="78" spans="1:18" x14ac:dyDescent="0.25">
      <c r="A78" t="s">
        <v>19</v>
      </c>
      <c r="B78" t="s">
        <v>20</v>
      </c>
      <c r="C78" t="s">
        <v>290</v>
      </c>
      <c r="D78" t="s">
        <v>22</v>
      </c>
      <c r="E78" t="s">
        <v>291</v>
      </c>
      <c r="F78" t="s">
        <v>61</v>
      </c>
      <c r="G78" t="s">
        <v>292</v>
      </c>
      <c r="H78" t="s">
        <v>295</v>
      </c>
      <c r="I78" t="s">
        <v>296</v>
      </c>
      <c r="J78" t="s">
        <v>28</v>
      </c>
      <c r="K78" t="s">
        <v>169</v>
      </c>
      <c r="L78" t="s">
        <v>30</v>
      </c>
      <c r="M78" s="2" t="s">
        <v>30</v>
      </c>
    </row>
    <row r="79" spans="1:18" x14ac:dyDescent="0.25">
      <c r="A79" t="s">
        <v>19</v>
      </c>
      <c r="B79" t="s">
        <v>20</v>
      </c>
      <c r="C79" t="s">
        <v>290</v>
      </c>
      <c r="D79" t="s">
        <v>22</v>
      </c>
      <c r="E79" t="s">
        <v>291</v>
      </c>
      <c r="F79" t="s">
        <v>61</v>
      </c>
      <c r="G79" t="s">
        <v>292</v>
      </c>
      <c r="H79" t="s">
        <v>297</v>
      </c>
      <c r="I79" t="s">
        <v>298</v>
      </c>
      <c r="J79" t="s">
        <v>28</v>
      </c>
      <c r="K79" t="s">
        <v>169</v>
      </c>
      <c r="L79" t="s">
        <v>30</v>
      </c>
      <c r="M79" s="2" t="s">
        <v>30</v>
      </c>
    </row>
    <row r="80" spans="1:18" x14ac:dyDescent="0.25">
      <c r="A80" t="s">
        <v>19</v>
      </c>
      <c r="B80" t="s">
        <v>20</v>
      </c>
      <c r="C80" t="s">
        <v>290</v>
      </c>
      <c r="D80" t="s">
        <v>22</v>
      </c>
      <c r="E80" t="s">
        <v>291</v>
      </c>
      <c r="F80" t="s">
        <v>61</v>
      </c>
      <c r="G80" t="s">
        <v>292</v>
      </c>
      <c r="H80" s="97" t="s">
        <v>299</v>
      </c>
      <c r="I80" t="s">
        <v>300</v>
      </c>
      <c r="J80" t="s">
        <v>28</v>
      </c>
      <c r="K80" t="s">
        <v>169</v>
      </c>
      <c r="L80" t="s">
        <v>30</v>
      </c>
      <c r="M80" s="2" t="s">
        <v>30</v>
      </c>
      <c r="N80" t="s">
        <v>3493</v>
      </c>
      <c r="O80" s="104" t="s">
        <v>3532</v>
      </c>
    </row>
    <row r="81" spans="1:19" x14ac:dyDescent="0.25">
      <c r="A81" t="s">
        <v>19</v>
      </c>
      <c r="B81" t="s">
        <v>20</v>
      </c>
      <c r="C81" t="s">
        <v>301</v>
      </c>
      <c r="D81" t="s">
        <v>22</v>
      </c>
      <c r="E81" t="s">
        <v>302</v>
      </c>
      <c r="F81" t="s">
        <v>61</v>
      </c>
      <c r="G81" t="s">
        <v>52</v>
      </c>
      <c r="H81" t="s">
        <v>303</v>
      </c>
      <c r="I81" t="s">
        <v>304</v>
      </c>
      <c r="J81" t="s">
        <v>28</v>
      </c>
      <c r="K81" t="s">
        <v>169</v>
      </c>
      <c r="L81" t="s">
        <v>30</v>
      </c>
      <c r="M81" s="2" t="s">
        <v>30</v>
      </c>
      <c r="O81" t="s">
        <v>305</v>
      </c>
    </row>
    <row r="82" spans="1:19" x14ac:dyDescent="0.25">
      <c r="A82" t="s">
        <v>19</v>
      </c>
      <c r="B82" t="s">
        <v>20</v>
      </c>
      <c r="C82" t="s">
        <v>301</v>
      </c>
      <c r="D82" t="s">
        <v>22</v>
      </c>
      <c r="E82" t="s">
        <v>302</v>
      </c>
      <c r="F82" t="s">
        <v>61</v>
      </c>
      <c r="G82" t="s">
        <v>52</v>
      </c>
      <c r="H82" t="s">
        <v>306</v>
      </c>
      <c r="I82" t="s">
        <v>307</v>
      </c>
      <c r="J82" t="s">
        <v>28</v>
      </c>
      <c r="K82" t="s">
        <v>169</v>
      </c>
      <c r="L82" t="s">
        <v>30</v>
      </c>
      <c r="M82" s="2" t="s">
        <v>30</v>
      </c>
      <c r="O82" t="s">
        <v>308</v>
      </c>
    </row>
    <row r="83" spans="1:19" x14ac:dyDescent="0.25">
      <c r="A83" t="s">
        <v>19</v>
      </c>
      <c r="B83" t="s">
        <v>20</v>
      </c>
      <c r="C83" t="s">
        <v>301</v>
      </c>
      <c r="D83" t="s">
        <v>22</v>
      </c>
      <c r="E83" t="s">
        <v>302</v>
      </c>
      <c r="F83" t="s">
        <v>61</v>
      </c>
      <c r="G83" t="s">
        <v>52</v>
      </c>
      <c r="H83" t="s">
        <v>309</v>
      </c>
      <c r="I83" t="s">
        <v>310</v>
      </c>
      <c r="J83" t="s">
        <v>28</v>
      </c>
      <c r="K83" t="s">
        <v>169</v>
      </c>
      <c r="L83" t="s">
        <v>30</v>
      </c>
      <c r="M83" s="2" t="s">
        <v>30</v>
      </c>
    </row>
    <row r="84" spans="1:19" x14ac:dyDescent="0.25">
      <c r="A84" t="s">
        <v>19</v>
      </c>
      <c r="B84" t="s">
        <v>20</v>
      </c>
      <c r="C84" t="s">
        <v>311</v>
      </c>
      <c r="D84" t="s">
        <v>22</v>
      </c>
      <c r="E84" t="s">
        <v>312</v>
      </c>
      <c r="F84" t="s">
        <v>61</v>
      </c>
      <c r="G84" t="s">
        <v>190</v>
      </c>
      <c r="H84" t="s">
        <v>313</v>
      </c>
      <c r="I84" t="s">
        <v>314</v>
      </c>
      <c r="J84" t="s">
        <v>28</v>
      </c>
      <c r="K84" t="s">
        <v>169</v>
      </c>
      <c r="L84" t="s">
        <v>30</v>
      </c>
      <c r="M84" s="2" t="s">
        <v>30</v>
      </c>
    </row>
    <row r="85" spans="1:19" x14ac:dyDescent="0.25">
      <c r="A85" t="s">
        <v>19</v>
      </c>
      <c r="B85" t="s">
        <v>20</v>
      </c>
      <c r="C85" t="s">
        <v>311</v>
      </c>
      <c r="D85" t="s">
        <v>22</v>
      </c>
      <c r="E85" t="s">
        <v>312</v>
      </c>
      <c r="F85" t="s">
        <v>61</v>
      </c>
      <c r="G85" t="s">
        <v>190</v>
      </c>
      <c r="H85" t="s">
        <v>315</v>
      </c>
      <c r="I85" t="s">
        <v>316</v>
      </c>
      <c r="J85" t="s">
        <v>28</v>
      </c>
      <c r="K85" t="s">
        <v>169</v>
      </c>
      <c r="L85" t="s">
        <v>30</v>
      </c>
      <c r="M85" s="2" t="s">
        <v>30</v>
      </c>
    </row>
    <row r="86" spans="1:19" x14ac:dyDescent="0.25">
      <c r="A86" t="s">
        <v>19</v>
      </c>
      <c r="B86" t="s">
        <v>20</v>
      </c>
      <c r="C86" t="s">
        <v>311</v>
      </c>
      <c r="D86" t="s">
        <v>22</v>
      </c>
      <c r="E86" t="s">
        <v>312</v>
      </c>
      <c r="F86" t="s">
        <v>61</v>
      </c>
      <c r="G86" t="s">
        <v>190</v>
      </c>
      <c r="H86" t="s">
        <v>317</v>
      </c>
      <c r="I86" t="s">
        <v>318</v>
      </c>
      <c r="J86" t="s">
        <v>28</v>
      </c>
      <c r="K86" t="s">
        <v>33</v>
      </c>
      <c r="L86" t="s">
        <v>52</v>
      </c>
      <c r="M86" s="3" t="s">
        <v>52</v>
      </c>
    </row>
    <row r="87" spans="1:19" x14ac:dyDescent="0.25">
      <c r="A87" t="s">
        <v>19</v>
      </c>
      <c r="B87" t="s">
        <v>20</v>
      </c>
      <c r="C87" t="s">
        <v>311</v>
      </c>
      <c r="D87" t="s">
        <v>22</v>
      </c>
      <c r="E87" t="s">
        <v>312</v>
      </c>
      <c r="F87" t="s">
        <v>61</v>
      </c>
      <c r="G87" t="s">
        <v>190</v>
      </c>
      <c r="H87" t="s">
        <v>319</v>
      </c>
      <c r="I87" t="s">
        <v>320</v>
      </c>
      <c r="J87" t="s">
        <v>28</v>
      </c>
      <c r="K87" t="s">
        <v>152</v>
      </c>
      <c r="L87" t="s">
        <v>30</v>
      </c>
      <c r="M87" s="2" t="s">
        <v>30</v>
      </c>
      <c r="O87" t="s">
        <v>321</v>
      </c>
      <c r="R87" t="s">
        <v>152</v>
      </c>
      <c r="S87" t="s">
        <v>214</v>
      </c>
    </row>
    <row r="88" spans="1:19" x14ac:dyDescent="0.25">
      <c r="A88" t="s">
        <v>19</v>
      </c>
      <c r="B88" t="s">
        <v>20</v>
      </c>
      <c r="C88" t="s">
        <v>311</v>
      </c>
      <c r="D88" t="s">
        <v>22</v>
      </c>
      <c r="E88" t="s">
        <v>312</v>
      </c>
      <c r="F88" t="s">
        <v>61</v>
      </c>
      <c r="G88" t="s">
        <v>190</v>
      </c>
      <c r="H88" t="s">
        <v>322</v>
      </c>
      <c r="I88" t="s">
        <v>323</v>
      </c>
      <c r="J88" t="s">
        <v>28</v>
      </c>
      <c r="K88" t="s">
        <v>169</v>
      </c>
      <c r="L88" t="s">
        <v>30</v>
      </c>
      <c r="M88" s="2" t="s">
        <v>30</v>
      </c>
    </row>
    <row r="89" spans="1:19" x14ac:dyDescent="0.25">
      <c r="A89" t="s">
        <v>19</v>
      </c>
      <c r="B89" t="s">
        <v>20</v>
      </c>
      <c r="C89" t="s">
        <v>324</v>
      </c>
      <c r="D89" t="s">
        <v>22</v>
      </c>
      <c r="E89" t="s">
        <v>325</v>
      </c>
      <c r="F89" t="s">
        <v>61</v>
      </c>
      <c r="G89" t="s">
        <v>326</v>
      </c>
      <c r="H89" t="s">
        <v>327</v>
      </c>
      <c r="I89" t="s">
        <v>328</v>
      </c>
      <c r="J89" t="s">
        <v>28</v>
      </c>
      <c r="K89" t="s">
        <v>169</v>
      </c>
      <c r="L89" t="s">
        <v>30</v>
      </c>
      <c r="M89" s="2" t="s">
        <v>30</v>
      </c>
    </row>
    <row r="90" spans="1:19" x14ac:dyDescent="0.25">
      <c r="A90" t="s">
        <v>19</v>
      </c>
      <c r="B90" t="s">
        <v>20</v>
      </c>
      <c r="C90" t="s">
        <v>324</v>
      </c>
      <c r="D90" t="s">
        <v>22</v>
      </c>
      <c r="E90" t="s">
        <v>325</v>
      </c>
      <c r="F90" t="s">
        <v>61</v>
      </c>
      <c r="G90" t="s">
        <v>326</v>
      </c>
      <c r="H90" t="s">
        <v>329</v>
      </c>
      <c r="I90" t="s">
        <v>330</v>
      </c>
      <c r="J90" t="s">
        <v>28</v>
      </c>
      <c r="K90" t="s">
        <v>169</v>
      </c>
      <c r="L90" t="s">
        <v>30</v>
      </c>
      <c r="M90" s="2" t="s">
        <v>30</v>
      </c>
    </row>
    <row r="91" spans="1:19" x14ac:dyDescent="0.25">
      <c r="A91" t="s">
        <v>19</v>
      </c>
      <c r="B91" t="s">
        <v>20</v>
      </c>
      <c r="C91" t="s">
        <v>324</v>
      </c>
      <c r="D91" t="s">
        <v>22</v>
      </c>
      <c r="E91" t="s">
        <v>325</v>
      </c>
      <c r="F91" t="s">
        <v>61</v>
      </c>
      <c r="G91" t="s">
        <v>326</v>
      </c>
      <c r="H91" t="s">
        <v>331</v>
      </c>
      <c r="I91" t="s">
        <v>332</v>
      </c>
      <c r="J91" t="s">
        <v>28</v>
      </c>
      <c r="K91" t="s">
        <v>169</v>
      </c>
      <c r="L91" t="s">
        <v>30</v>
      </c>
      <c r="M91" s="2" t="s">
        <v>30</v>
      </c>
    </row>
    <row r="92" spans="1:19" x14ac:dyDescent="0.25">
      <c r="A92" t="s">
        <v>19</v>
      </c>
      <c r="B92" t="s">
        <v>20</v>
      </c>
      <c r="C92" t="s">
        <v>324</v>
      </c>
      <c r="D92" t="s">
        <v>22</v>
      </c>
      <c r="E92" t="s">
        <v>325</v>
      </c>
      <c r="F92" t="s">
        <v>61</v>
      </c>
      <c r="G92" t="s">
        <v>326</v>
      </c>
      <c r="H92" t="s">
        <v>333</v>
      </c>
      <c r="I92" t="s">
        <v>334</v>
      </c>
      <c r="J92" t="s">
        <v>28</v>
      </c>
      <c r="K92" t="s">
        <v>87</v>
      </c>
      <c r="L92" t="s">
        <v>30</v>
      </c>
      <c r="M92" s="2" t="s">
        <v>30</v>
      </c>
    </row>
    <row r="93" spans="1:19" x14ac:dyDescent="0.25">
      <c r="A93" t="s">
        <v>19</v>
      </c>
      <c r="B93" t="s">
        <v>20</v>
      </c>
      <c r="C93" t="s">
        <v>324</v>
      </c>
      <c r="D93" t="s">
        <v>22</v>
      </c>
      <c r="E93" t="s">
        <v>325</v>
      </c>
      <c r="F93" t="s">
        <v>61</v>
      </c>
      <c r="G93" t="s">
        <v>326</v>
      </c>
      <c r="H93" t="s">
        <v>335</v>
      </c>
      <c r="I93" t="s">
        <v>336</v>
      </c>
      <c r="J93" t="s">
        <v>28</v>
      </c>
      <c r="K93" t="s">
        <v>87</v>
      </c>
      <c r="L93" t="s">
        <v>52</v>
      </c>
      <c r="M93" s="3" t="s">
        <v>52</v>
      </c>
    </row>
    <row r="94" spans="1:19" x14ac:dyDescent="0.25">
      <c r="A94" t="s">
        <v>19</v>
      </c>
      <c r="B94" t="s">
        <v>20</v>
      </c>
      <c r="C94" t="s">
        <v>337</v>
      </c>
      <c r="D94" t="s">
        <v>22</v>
      </c>
      <c r="E94" t="s">
        <v>338</v>
      </c>
      <c r="F94" t="s">
        <v>61</v>
      </c>
      <c r="G94" t="s">
        <v>190</v>
      </c>
      <c r="H94" t="s">
        <v>339</v>
      </c>
      <c r="I94" t="s">
        <v>340</v>
      </c>
      <c r="J94" t="s">
        <v>28</v>
      </c>
      <c r="K94" t="s">
        <v>169</v>
      </c>
      <c r="L94" t="s">
        <v>30</v>
      </c>
      <c r="M94" s="2" t="s">
        <v>30</v>
      </c>
    </row>
    <row r="95" spans="1:19" x14ac:dyDescent="0.25">
      <c r="A95" t="s">
        <v>19</v>
      </c>
      <c r="B95" t="s">
        <v>20</v>
      </c>
      <c r="C95" t="s">
        <v>337</v>
      </c>
      <c r="D95" t="s">
        <v>22</v>
      </c>
      <c r="E95" t="s">
        <v>338</v>
      </c>
      <c r="F95" t="s">
        <v>61</v>
      </c>
      <c r="G95" t="s">
        <v>190</v>
      </c>
      <c r="H95" t="s">
        <v>341</v>
      </c>
      <c r="I95" t="s">
        <v>342</v>
      </c>
      <c r="J95" t="s">
        <v>28</v>
      </c>
      <c r="K95" t="s">
        <v>343</v>
      </c>
      <c r="L95" t="s">
        <v>30</v>
      </c>
      <c r="M95" s="2" t="s">
        <v>30</v>
      </c>
      <c r="O95" t="s">
        <v>344</v>
      </c>
      <c r="R95" t="s">
        <v>343</v>
      </c>
    </row>
    <row r="96" spans="1:19" x14ac:dyDescent="0.25">
      <c r="A96" t="s">
        <v>19</v>
      </c>
      <c r="B96" t="s">
        <v>20</v>
      </c>
      <c r="C96" t="s">
        <v>337</v>
      </c>
      <c r="D96" t="s">
        <v>22</v>
      </c>
      <c r="E96" t="s">
        <v>338</v>
      </c>
      <c r="F96" t="s">
        <v>61</v>
      </c>
      <c r="G96" t="s">
        <v>190</v>
      </c>
      <c r="H96" t="s">
        <v>345</v>
      </c>
      <c r="I96" t="s">
        <v>346</v>
      </c>
      <c r="J96" t="s">
        <v>28</v>
      </c>
      <c r="K96" t="s">
        <v>169</v>
      </c>
      <c r="L96" t="s">
        <v>30</v>
      </c>
      <c r="M96" s="2" t="s">
        <v>30</v>
      </c>
    </row>
    <row r="97" spans="1:19" x14ac:dyDescent="0.25">
      <c r="A97" t="s">
        <v>19</v>
      </c>
      <c r="B97" t="s">
        <v>20</v>
      </c>
      <c r="C97" t="s">
        <v>337</v>
      </c>
      <c r="D97" t="s">
        <v>22</v>
      </c>
      <c r="E97" t="s">
        <v>338</v>
      </c>
      <c r="F97" t="s">
        <v>61</v>
      </c>
      <c r="G97" t="s">
        <v>190</v>
      </c>
      <c r="H97" t="s">
        <v>347</v>
      </c>
      <c r="I97" t="s">
        <v>348</v>
      </c>
      <c r="J97" t="s">
        <v>28</v>
      </c>
      <c r="K97" t="s">
        <v>169</v>
      </c>
      <c r="L97" t="s">
        <v>30</v>
      </c>
      <c r="M97" s="2" t="s">
        <v>30</v>
      </c>
    </row>
    <row r="98" spans="1:19" x14ac:dyDescent="0.25">
      <c r="A98" t="s">
        <v>19</v>
      </c>
      <c r="B98" t="s">
        <v>20</v>
      </c>
      <c r="C98" t="s">
        <v>349</v>
      </c>
      <c r="D98" t="s">
        <v>22</v>
      </c>
      <c r="E98" t="s">
        <v>350</v>
      </c>
      <c r="F98" t="s">
        <v>61</v>
      </c>
      <c r="G98" t="s">
        <v>351</v>
      </c>
      <c r="H98" t="s">
        <v>352</v>
      </c>
      <c r="I98" t="s">
        <v>353</v>
      </c>
      <c r="J98" t="s">
        <v>28</v>
      </c>
      <c r="K98" t="s">
        <v>152</v>
      </c>
      <c r="L98" t="s">
        <v>30</v>
      </c>
      <c r="M98" s="2" t="s">
        <v>30</v>
      </c>
      <c r="O98" t="s">
        <v>354</v>
      </c>
      <c r="R98" t="s">
        <v>152</v>
      </c>
      <c r="S98" t="s">
        <v>244</v>
      </c>
    </row>
    <row r="99" spans="1:19" x14ac:dyDescent="0.25">
      <c r="A99" t="s">
        <v>19</v>
      </c>
      <c r="B99" t="s">
        <v>20</v>
      </c>
      <c r="C99" t="s">
        <v>349</v>
      </c>
      <c r="D99" t="s">
        <v>22</v>
      </c>
      <c r="E99" t="s">
        <v>350</v>
      </c>
      <c r="F99" t="s">
        <v>61</v>
      </c>
      <c r="G99" t="s">
        <v>351</v>
      </c>
      <c r="H99" s="97" t="s">
        <v>355</v>
      </c>
      <c r="I99" t="s">
        <v>356</v>
      </c>
      <c r="J99" t="s">
        <v>28</v>
      </c>
      <c r="K99" t="s">
        <v>169</v>
      </c>
      <c r="L99" t="s">
        <v>30</v>
      </c>
      <c r="M99" s="2" t="s">
        <v>30</v>
      </c>
      <c r="N99" t="s">
        <v>3494</v>
      </c>
      <c r="O99" s="104" t="s">
        <v>3532</v>
      </c>
    </row>
    <row r="100" spans="1:19" x14ac:dyDescent="0.25">
      <c r="A100" t="s">
        <v>19</v>
      </c>
      <c r="B100" t="s">
        <v>20</v>
      </c>
      <c r="C100" t="s">
        <v>357</v>
      </c>
      <c r="D100" t="s">
        <v>78</v>
      </c>
      <c r="E100" t="s">
        <v>358</v>
      </c>
      <c r="F100" t="s">
        <v>359</v>
      </c>
      <c r="G100" t="s">
        <v>115</v>
      </c>
      <c r="H100" s="97" t="s">
        <v>360</v>
      </c>
      <c r="I100" t="s">
        <v>361</v>
      </c>
      <c r="J100" t="s">
        <v>28</v>
      </c>
      <c r="K100" t="s">
        <v>87</v>
      </c>
      <c r="L100" t="s">
        <v>181</v>
      </c>
      <c r="M100" s="4" t="s">
        <v>182</v>
      </c>
      <c r="N100" t="s">
        <v>3495</v>
      </c>
      <c r="O100" t="s">
        <v>362</v>
      </c>
    </row>
    <row r="101" spans="1:19" x14ac:dyDescent="0.25">
      <c r="A101" t="s">
        <v>19</v>
      </c>
      <c r="B101" t="s">
        <v>20</v>
      </c>
      <c r="C101" t="s">
        <v>357</v>
      </c>
      <c r="D101" t="s">
        <v>78</v>
      </c>
      <c r="E101" t="s">
        <v>358</v>
      </c>
      <c r="F101" t="s">
        <v>359</v>
      </c>
      <c r="G101" t="s">
        <v>115</v>
      </c>
      <c r="H101" t="s">
        <v>363</v>
      </c>
      <c r="I101" t="s">
        <v>364</v>
      </c>
      <c r="J101" t="s">
        <v>28</v>
      </c>
      <c r="K101" t="s">
        <v>33</v>
      </c>
      <c r="L101" s="4" t="s">
        <v>30</v>
      </c>
      <c r="M101" s="4" t="s">
        <v>30</v>
      </c>
      <c r="N101" t="s">
        <v>3495</v>
      </c>
      <c r="O101" t="s">
        <v>365</v>
      </c>
    </row>
    <row r="102" spans="1:19" x14ac:dyDescent="0.25">
      <c r="A102" t="s">
        <v>19</v>
      </c>
      <c r="B102" t="s">
        <v>20</v>
      </c>
      <c r="C102" t="s">
        <v>366</v>
      </c>
      <c r="D102" t="s">
        <v>22</v>
      </c>
      <c r="E102" t="s">
        <v>367</v>
      </c>
      <c r="F102" t="s">
        <v>368</v>
      </c>
      <c r="G102" t="s">
        <v>369</v>
      </c>
      <c r="H102" t="s">
        <v>370</v>
      </c>
      <c r="I102" t="s">
        <v>371</v>
      </c>
      <c r="J102" t="s">
        <v>28</v>
      </c>
      <c r="L102" t="s">
        <v>30</v>
      </c>
      <c r="M102" s="2" t="s">
        <v>30</v>
      </c>
      <c r="O102" t="s">
        <v>374</v>
      </c>
    </row>
    <row r="103" spans="1:19" x14ac:dyDescent="0.25">
      <c r="A103" t="s">
        <v>19</v>
      </c>
      <c r="B103" t="s">
        <v>20</v>
      </c>
      <c r="C103" t="s">
        <v>366</v>
      </c>
      <c r="D103" t="s">
        <v>22</v>
      </c>
      <c r="E103" t="s">
        <v>367</v>
      </c>
      <c r="F103" t="s">
        <v>368</v>
      </c>
      <c r="G103" t="s">
        <v>369</v>
      </c>
      <c r="H103" t="s">
        <v>375</v>
      </c>
      <c r="I103" t="s">
        <v>376</v>
      </c>
      <c r="J103" t="s">
        <v>28</v>
      </c>
      <c r="L103" t="s">
        <v>30</v>
      </c>
      <c r="M103" s="2" t="s">
        <v>30</v>
      </c>
      <c r="O103" t="s">
        <v>374</v>
      </c>
    </row>
    <row r="104" spans="1:19" x14ac:dyDescent="0.25">
      <c r="A104" t="s">
        <v>19</v>
      </c>
      <c r="B104" t="s">
        <v>20</v>
      </c>
      <c r="C104" t="s">
        <v>366</v>
      </c>
      <c r="D104" t="s">
        <v>22</v>
      </c>
      <c r="E104" t="s">
        <v>367</v>
      </c>
      <c r="F104" t="s">
        <v>368</v>
      </c>
      <c r="G104" t="s">
        <v>369</v>
      </c>
      <c r="H104" t="s">
        <v>377</v>
      </c>
      <c r="I104" t="s">
        <v>378</v>
      </c>
      <c r="J104" t="s">
        <v>28</v>
      </c>
      <c r="L104" t="s">
        <v>30</v>
      </c>
      <c r="M104" s="2" t="s">
        <v>30</v>
      </c>
      <c r="O104" t="s">
        <v>374</v>
      </c>
    </row>
    <row r="105" spans="1:19" x14ac:dyDescent="0.25">
      <c r="A105" t="s">
        <v>19</v>
      </c>
      <c r="B105" t="s">
        <v>20</v>
      </c>
      <c r="C105" t="s">
        <v>366</v>
      </c>
      <c r="D105" t="s">
        <v>22</v>
      </c>
      <c r="E105" t="s">
        <v>367</v>
      </c>
      <c r="F105" t="s">
        <v>368</v>
      </c>
      <c r="G105" t="s">
        <v>369</v>
      </c>
      <c r="H105" t="s">
        <v>379</v>
      </c>
      <c r="I105" t="s">
        <v>380</v>
      </c>
      <c r="J105" t="s">
        <v>28</v>
      </c>
      <c r="L105" t="s">
        <v>30</v>
      </c>
      <c r="M105" s="2" t="s">
        <v>30</v>
      </c>
      <c r="O105" t="s">
        <v>374</v>
      </c>
    </row>
    <row r="106" spans="1:19" x14ac:dyDescent="0.25">
      <c r="A106" t="s">
        <v>19</v>
      </c>
      <c r="B106" t="s">
        <v>20</v>
      </c>
      <c r="C106" t="s">
        <v>366</v>
      </c>
      <c r="D106" t="s">
        <v>22</v>
      </c>
      <c r="E106" t="s">
        <v>367</v>
      </c>
      <c r="F106" t="s">
        <v>368</v>
      </c>
      <c r="G106" t="s">
        <v>369</v>
      </c>
      <c r="H106" t="s">
        <v>381</v>
      </c>
      <c r="I106" t="s">
        <v>382</v>
      </c>
      <c r="J106" t="s">
        <v>28</v>
      </c>
      <c r="L106" t="s">
        <v>30</v>
      </c>
      <c r="M106" s="2" t="s">
        <v>30</v>
      </c>
      <c r="O106" t="s">
        <v>374</v>
      </c>
    </row>
    <row r="107" spans="1:19" x14ac:dyDescent="0.25">
      <c r="A107" t="s">
        <v>19</v>
      </c>
      <c r="B107" t="s">
        <v>20</v>
      </c>
      <c r="C107" t="s">
        <v>366</v>
      </c>
      <c r="D107" t="s">
        <v>22</v>
      </c>
      <c r="E107" t="s">
        <v>367</v>
      </c>
      <c r="F107" t="s">
        <v>368</v>
      </c>
      <c r="G107" t="s">
        <v>369</v>
      </c>
      <c r="H107" t="s">
        <v>383</v>
      </c>
      <c r="I107" t="s">
        <v>384</v>
      </c>
      <c r="J107" t="s">
        <v>28</v>
      </c>
      <c r="L107" t="s">
        <v>30</v>
      </c>
      <c r="M107" s="2" t="s">
        <v>30</v>
      </c>
      <c r="O107" t="s">
        <v>374</v>
      </c>
    </row>
    <row r="108" spans="1:19" x14ac:dyDescent="0.25">
      <c r="A108" t="s">
        <v>19</v>
      </c>
      <c r="B108" t="s">
        <v>20</v>
      </c>
      <c r="C108" t="s">
        <v>385</v>
      </c>
      <c r="D108" t="s">
        <v>22</v>
      </c>
      <c r="E108" t="s">
        <v>386</v>
      </c>
      <c r="F108" t="s">
        <v>19</v>
      </c>
      <c r="G108" t="s">
        <v>387</v>
      </c>
      <c r="H108" t="s">
        <v>388</v>
      </c>
      <c r="I108" t="s">
        <v>389</v>
      </c>
      <c r="J108" t="s">
        <v>28</v>
      </c>
      <c r="L108" t="s">
        <v>30</v>
      </c>
      <c r="M108" s="2" t="s">
        <v>30</v>
      </c>
      <c r="O108" t="s">
        <v>374</v>
      </c>
    </row>
    <row r="109" spans="1:19" x14ac:dyDescent="0.25">
      <c r="A109" t="s">
        <v>19</v>
      </c>
      <c r="B109" t="s">
        <v>20</v>
      </c>
      <c r="C109" t="s">
        <v>385</v>
      </c>
      <c r="D109" t="s">
        <v>22</v>
      </c>
      <c r="E109" t="s">
        <v>386</v>
      </c>
      <c r="F109" t="s">
        <v>19</v>
      </c>
      <c r="G109" t="s">
        <v>387</v>
      </c>
      <c r="H109" t="s">
        <v>390</v>
      </c>
      <c r="I109" t="s">
        <v>391</v>
      </c>
      <c r="J109" t="s">
        <v>28</v>
      </c>
      <c r="L109" t="s">
        <v>30</v>
      </c>
      <c r="M109" s="2" t="s">
        <v>30</v>
      </c>
      <c r="O109" t="s">
        <v>374</v>
      </c>
    </row>
    <row r="110" spans="1:19" x14ac:dyDescent="0.25">
      <c r="A110" t="s">
        <v>19</v>
      </c>
      <c r="B110" t="s">
        <v>20</v>
      </c>
      <c r="C110" t="s">
        <v>385</v>
      </c>
      <c r="D110" t="s">
        <v>22</v>
      </c>
      <c r="E110" t="s">
        <v>386</v>
      </c>
      <c r="F110" t="s">
        <v>19</v>
      </c>
      <c r="G110" t="s">
        <v>387</v>
      </c>
      <c r="H110" t="s">
        <v>392</v>
      </c>
      <c r="I110" t="s">
        <v>393</v>
      </c>
      <c r="J110" t="s">
        <v>28</v>
      </c>
      <c r="L110" t="s">
        <v>30</v>
      </c>
      <c r="M110" s="2" t="s">
        <v>30</v>
      </c>
      <c r="O110" t="s">
        <v>374</v>
      </c>
    </row>
    <row r="111" spans="1:19" x14ac:dyDescent="0.25">
      <c r="A111" t="s">
        <v>19</v>
      </c>
      <c r="B111" t="s">
        <v>20</v>
      </c>
      <c r="C111" t="s">
        <v>394</v>
      </c>
      <c r="D111" t="s">
        <v>22</v>
      </c>
      <c r="E111" t="s">
        <v>395</v>
      </c>
      <c r="F111" t="s">
        <v>396</v>
      </c>
      <c r="G111" t="s">
        <v>141</v>
      </c>
      <c r="H111" t="s">
        <v>397</v>
      </c>
      <c r="I111" t="s">
        <v>398</v>
      </c>
      <c r="J111" t="s">
        <v>28</v>
      </c>
      <c r="K111" t="s">
        <v>65</v>
      </c>
      <c r="L111" t="s">
        <v>30</v>
      </c>
      <c r="M111" s="2" t="s">
        <v>30</v>
      </c>
    </row>
    <row r="112" spans="1:19" x14ac:dyDescent="0.25">
      <c r="A112" t="s">
        <v>19</v>
      </c>
      <c r="B112" t="s">
        <v>20</v>
      </c>
      <c r="C112" t="s">
        <v>394</v>
      </c>
      <c r="D112" t="s">
        <v>22</v>
      </c>
      <c r="E112" t="s">
        <v>395</v>
      </c>
      <c r="F112" t="s">
        <v>396</v>
      </c>
      <c r="G112" t="s">
        <v>141</v>
      </c>
      <c r="H112" t="s">
        <v>399</v>
      </c>
      <c r="I112" t="s">
        <v>400</v>
      </c>
      <c r="J112" t="s">
        <v>28</v>
      </c>
      <c r="K112" t="s">
        <v>65</v>
      </c>
      <c r="L112" t="s">
        <v>30</v>
      </c>
      <c r="M112" s="2" t="s">
        <v>30</v>
      </c>
    </row>
    <row r="113" spans="1:19" x14ac:dyDescent="0.25">
      <c r="A113" t="s">
        <v>19</v>
      </c>
      <c r="B113" t="s">
        <v>20</v>
      </c>
      <c r="C113" t="s">
        <v>394</v>
      </c>
      <c r="D113" t="s">
        <v>22</v>
      </c>
      <c r="E113" t="s">
        <v>395</v>
      </c>
      <c r="F113" t="s">
        <v>396</v>
      </c>
      <c r="G113" t="s">
        <v>141</v>
      </c>
      <c r="H113" t="s">
        <v>401</v>
      </c>
      <c r="I113" t="s">
        <v>402</v>
      </c>
      <c r="J113" t="s">
        <v>28</v>
      </c>
      <c r="K113" t="s">
        <v>65</v>
      </c>
      <c r="L113" t="s">
        <v>52</v>
      </c>
      <c r="M113" s="3" t="s">
        <v>52</v>
      </c>
      <c r="O113" t="s">
        <v>53</v>
      </c>
      <c r="Q113" t="s">
        <v>403</v>
      </c>
    </row>
    <row r="114" spans="1:19" x14ac:dyDescent="0.25">
      <c r="A114" t="s">
        <v>19</v>
      </c>
      <c r="B114" t="s">
        <v>20</v>
      </c>
      <c r="C114" t="s">
        <v>404</v>
      </c>
      <c r="D114" t="s">
        <v>22</v>
      </c>
      <c r="E114" t="s">
        <v>405</v>
      </c>
      <c r="F114" t="s">
        <v>396</v>
      </c>
      <c r="G114" t="s">
        <v>406</v>
      </c>
      <c r="H114" t="s">
        <v>407</v>
      </c>
      <c r="I114" t="s">
        <v>408</v>
      </c>
      <c r="J114" t="s">
        <v>28</v>
      </c>
      <c r="K114" t="s">
        <v>87</v>
      </c>
      <c r="L114" t="s">
        <v>30</v>
      </c>
      <c r="M114" s="2" t="s">
        <v>30</v>
      </c>
      <c r="R114" t="s">
        <v>87</v>
      </c>
    </row>
    <row r="115" spans="1:19" x14ac:dyDescent="0.25">
      <c r="A115" t="s">
        <v>19</v>
      </c>
      <c r="B115" t="s">
        <v>20</v>
      </c>
      <c r="C115" t="s">
        <v>404</v>
      </c>
      <c r="D115" t="s">
        <v>22</v>
      </c>
      <c r="E115" t="s">
        <v>405</v>
      </c>
      <c r="F115" t="s">
        <v>396</v>
      </c>
      <c r="G115" t="s">
        <v>406</v>
      </c>
      <c r="H115" t="s">
        <v>409</v>
      </c>
      <c r="I115" t="s">
        <v>410</v>
      </c>
      <c r="J115" t="s">
        <v>28</v>
      </c>
      <c r="K115" t="s">
        <v>87</v>
      </c>
      <c r="L115" t="s">
        <v>30</v>
      </c>
      <c r="M115" s="2" t="s">
        <v>30</v>
      </c>
      <c r="O115" t="s">
        <v>411</v>
      </c>
    </row>
    <row r="116" spans="1:19" x14ac:dyDescent="0.25">
      <c r="A116" t="s">
        <v>19</v>
      </c>
      <c r="B116" t="s">
        <v>20</v>
      </c>
      <c r="C116" t="s">
        <v>404</v>
      </c>
      <c r="D116" t="s">
        <v>22</v>
      </c>
      <c r="E116" t="s">
        <v>405</v>
      </c>
      <c r="F116" t="s">
        <v>396</v>
      </c>
      <c r="G116" t="s">
        <v>406</v>
      </c>
      <c r="H116" t="s">
        <v>412</v>
      </c>
      <c r="I116" t="s">
        <v>413</v>
      </c>
      <c r="J116" t="s">
        <v>28</v>
      </c>
      <c r="K116" t="s">
        <v>65</v>
      </c>
      <c r="L116" t="s">
        <v>30</v>
      </c>
      <c r="M116" s="2" t="s">
        <v>30</v>
      </c>
      <c r="O116" t="s">
        <v>414</v>
      </c>
    </row>
    <row r="117" spans="1:19" x14ac:dyDescent="0.25">
      <c r="A117" t="s">
        <v>19</v>
      </c>
      <c r="B117" t="s">
        <v>20</v>
      </c>
      <c r="C117" t="s">
        <v>404</v>
      </c>
      <c r="D117" t="s">
        <v>22</v>
      </c>
      <c r="E117" t="s">
        <v>405</v>
      </c>
      <c r="F117" t="s">
        <v>396</v>
      </c>
      <c r="G117" t="s">
        <v>406</v>
      </c>
      <c r="H117" t="s">
        <v>415</v>
      </c>
      <c r="I117" t="s">
        <v>416</v>
      </c>
      <c r="J117" t="s">
        <v>28</v>
      </c>
      <c r="K117" t="s">
        <v>65</v>
      </c>
      <c r="L117" t="s">
        <v>30</v>
      </c>
      <c r="M117" s="2" t="s">
        <v>30</v>
      </c>
      <c r="O117" t="s">
        <v>414</v>
      </c>
    </row>
    <row r="118" spans="1:19" x14ac:dyDescent="0.25">
      <c r="A118" t="s">
        <v>19</v>
      </c>
      <c r="B118" t="s">
        <v>20</v>
      </c>
      <c r="C118" t="s">
        <v>417</v>
      </c>
      <c r="D118" t="s">
        <v>59</v>
      </c>
      <c r="E118" t="s">
        <v>418</v>
      </c>
      <c r="F118" t="s">
        <v>419</v>
      </c>
      <c r="G118" t="s">
        <v>420</v>
      </c>
      <c r="H118" t="s">
        <v>421</v>
      </c>
      <c r="I118" t="s">
        <v>422</v>
      </c>
      <c r="J118" t="s">
        <v>28</v>
      </c>
      <c r="K118" t="s">
        <v>256</v>
      </c>
      <c r="L118" t="s">
        <v>30</v>
      </c>
      <c r="M118" s="2" t="s">
        <v>30</v>
      </c>
      <c r="O118" t="s">
        <v>423</v>
      </c>
      <c r="P118" t="s">
        <v>126</v>
      </c>
      <c r="R118" t="s">
        <v>152</v>
      </c>
      <c r="S118" t="s">
        <v>424</v>
      </c>
    </row>
    <row r="119" spans="1:19" x14ac:dyDescent="0.25">
      <c r="A119" t="s">
        <v>19</v>
      </c>
      <c r="B119" t="s">
        <v>20</v>
      </c>
      <c r="C119" t="s">
        <v>417</v>
      </c>
      <c r="D119" t="s">
        <v>59</v>
      </c>
      <c r="E119" t="s">
        <v>418</v>
      </c>
      <c r="F119" t="s">
        <v>419</v>
      </c>
      <c r="G119" t="s">
        <v>420</v>
      </c>
      <c r="H119" t="s">
        <v>425</v>
      </c>
      <c r="I119" t="s">
        <v>426</v>
      </c>
      <c r="J119" t="s">
        <v>28</v>
      </c>
      <c r="K119" t="s">
        <v>152</v>
      </c>
      <c r="L119" t="s">
        <v>30</v>
      </c>
      <c r="M119" s="2" t="s">
        <v>30</v>
      </c>
      <c r="O119" t="s">
        <v>427</v>
      </c>
      <c r="R119" t="s">
        <v>152</v>
      </c>
      <c r="S119" t="s">
        <v>428</v>
      </c>
    </row>
    <row r="120" spans="1:19" x14ac:dyDescent="0.25">
      <c r="A120" t="s">
        <v>19</v>
      </c>
      <c r="B120" t="s">
        <v>20</v>
      </c>
      <c r="C120" t="s">
        <v>417</v>
      </c>
      <c r="D120" t="s">
        <v>59</v>
      </c>
      <c r="E120" t="s">
        <v>418</v>
      </c>
      <c r="F120" t="s">
        <v>419</v>
      </c>
      <c r="G120" t="s">
        <v>420</v>
      </c>
      <c r="H120" t="s">
        <v>429</v>
      </c>
      <c r="I120" t="s">
        <v>430</v>
      </c>
      <c r="J120" t="s">
        <v>28</v>
      </c>
      <c r="K120" t="s">
        <v>152</v>
      </c>
      <c r="L120" t="s">
        <v>30</v>
      </c>
      <c r="M120" s="2" t="s">
        <v>30</v>
      </c>
      <c r="O120" t="s">
        <v>427</v>
      </c>
      <c r="R120" t="s">
        <v>152</v>
      </c>
      <c r="S120" t="s">
        <v>428</v>
      </c>
    </row>
    <row r="121" spans="1:19" x14ac:dyDescent="0.25">
      <c r="A121" t="s">
        <v>19</v>
      </c>
      <c r="B121" t="s">
        <v>20</v>
      </c>
      <c r="C121" t="s">
        <v>417</v>
      </c>
      <c r="D121" t="s">
        <v>59</v>
      </c>
      <c r="E121" t="s">
        <v>418</v>
      </c>
      <c r="F121" t="s">
        <v>419</v>
      </c>
      <c r="G121" t="s">
        <v>420</v>
      </c>
      <c r="H121" t="s">
        <v>431</v>
      </c>
      <c r="I121" t="s">
        <v>432</v>
      </c>
      <c r="J121" t="s">
        <v>28</v>
      </c>
      <c r="K121" t="s">
        <v>152</v>
      </c>
      <c r="L121" t="s">
        <v>30</v>
      </c>
      <c r="M121" s="2" t="s">
        <v>30</v>
      </c>
      <c r="O121" t="s">
        <v>427</v>
      </c>
      <c r="R121" t="s">
        <v>152</v>
      </c>
      <c r="S121" t="s">
        <v>428</v>
      </c>
    </row>
    <row r="122" spans="1:19" x14ac:dyDescent="0.25">
      <c r="A122" t="s">
        <v>19</v>
      </c>
      <c r="B122" t="s">
        <v>20</v>
      </c>
      <c r="C122" t="s">
        <v>417</v>
      </c>
      <c r="D122" t="s">
        <v>59</v>
      </c>
      <c r="E122" t="s">
        <v>418</v>
      </c>
      <c r="F122" t="s">
        <v>419</v>
      </c>
      <c r="G122" t="s">
        <v>420</v>
      </c>
      <c r="H122" t="s">
        <v>433</v>
      </c>
      <c r="I122" t="s">
        <v>434</v>
      </c>
      <c r="J122" t="s">
        <v>28</v>
      </c>
      <c r="K122" t="s">
        <v>152</v>
      </c>
      <c r="L122" t="s">
        <v>30</v>
      </c>
      <c r="M122" s="2" t="s">
        <v>30</v>
      </c>
      <c r="O122" t="s">
        <v>427</v>
      </c>
      <c r="R122" t="s">
        <v>152</v>
      </c>
      <c r="S122" t="s">
        <v>428</v>
      </c>
    </row>
    <row r="123" spans="1:19" x14ac:dyDescent="0.25">
      <c r="A123" t="s">
        <v>19</v>
      </c>
      <c r="B123" t="s">
        <v>20</v>
      </c>
      <c r="C123" t="s">
        <v>435</v>
      </c>
      <c r="D123" t="s">
        <v>22</v>
      </c>
      <c r="E123" t="s">
        <v>436</v>
      </c>
      <c r="F123" t="s">
        <v>19</v>
      </c>
      <c r="G123" t="s">
        <v>263</v>
      </c>
      <c r="H123" s="97" t="s">
        <v>437</v>
      </c>
      <c r="I123" t="s">
        <v>438</v>
      </c>
      <c r="J123" t="s">
        <v>28</v>
      </c>
      <c r="K123" t="s">
        <v>439</v>
      </c>
      <c r="L123" t="s">
        <v>181</v>
      </c>
      <c r="M123" s="4" t="s">
        <v>182</v>
      </c>
      <c r="N123" t="s">
        <v>3496</v>
      </c>
      <c r="O123" t="s">
        <v>440</v>
      </c>
      <c r="R123" t="s">
        <v>38</v>
      </c>
      <c r="S123" t="s">
        <v>441</v>
      </c>
    </row>
    <row r="124" spans="1:19" x14ac:dyDescent="0.25">
      <c r="A124" t="s">
        <v>19</v>
      </c>
      <c r="B124" t="s">
        <v>20</v>
      </c>
      <c r="C124" t="s">
        <v>435</v>
      </c>
      <c r="D124" t="s">
        <v>22</v>
      </c>
      <c r="E124" t="s">
        <v>436</v>
      </c>
      <c r="F124" t="s">
        <v>19</v>
      </c>
      <c r="G124" t="s">
        <v>263</v>
      </c>
      <c r="H124" t="s">
        <v>442</v>
      </c>
      <c r="I124" t="s">
        <v>443</v>
      </c>
      <c r="J124" t="s">
        <v>28</v>
      </c>
      <c r="K124" t="s">
        <v>87</v>
      </c>
      <c r="L124" t="s">
        <v>52</v>
      </c>
      <c r="M124" s="3" t="s">
        <v>52</v>
      </c>
    </row>
    <row r="125" spans="1:19" x14ac:dyDescent="0.25">
      <c r="A125" t="s">
        <v>19</v>
      </c>
      <c r="B125" t="s">
        <v>20</v>
      </c>
      <c r="C125" t="s">
        <v>444</v>
      </c>
      <c r="D125" t="s">
        <v>22</v>
      </c>
      <c r="E125" t="s">
        <v>445</v>
      </c>
      <c r="F125" t="s">
        <v>419</v>
      </c>
      <c r="G125" t="s">
        <v>420</v>
      </c>
      <c r="H125" t="s">
        <v>446</v>
      </c>
      <c r="I125" t="s">
        <v>447</v>
      </c>
      <c r="J125" t="s">
        <v>28</v>
      </c>
      <c r="K125" t="s">
        <v>87</v>
      </c>
      <c r="L125" t="s">
        <v>30</v>
      </c>
      <c r="M125" s="2" t="s">
        <v>30</v>
      </c>
      <c r="O125" t="s">
        <v>448</v>
      </c>
    </row>
    <row r="126" spans="1:19" x14ac:dyDescent="0.25">
      <c r="A126" t="s">
        <v>19</v>
      </c>
      <c r="B126" t="s">
        <v>20</v>
      </c>
      <c r="C126" t="s">
        <v>444</v>
      </c>
      <c r="D126" t="s">
        <v>22</v>
      </c>
      <c r="E126" t="s">
        <v>445</v>
      </c>
      <c r="F126" t="s">
        <v>419</v>
      </c>
      <c r="G126" t="s">
        <v>420</v>
      </c>
      <c r="H126" t="s">
        <v>449</v>
      </c>
      <c r="I126" t="s">
        <v>450</v>
      </c>
      <c r="J126" t="s">
        <v>28</v>
      </c>
      <c r="K126" t="s">
        <v>439</v>
      </c>
      <c r="L126" t="s">
        <v>30</v>
      </c>
      <c r="M126" s="2" t="s">
        <v>30</v>
      </c>
      <c r="O126" t="s">
        <v>451</v>
      </c>
      <c r="R126" t="s">
        <v>38</v>
      </c>
      <c r="S126" t="s">
        <v>452</v>
      </c>
    </row>
    <row r="127" spans="1:19" x14ac:dyDescent="0.25">
      <c r="A127" t="s">
        <v>19</v>
      </c>
      <c r="B127" t="s">
        <v>20</v>
      </c>
      <c r="C127" t="s">
        <v>444</v>
      </c>
      <c r="D127" t="s">
        <v>22</v>
      </c>
      <c r="E127" t="s">
        <v>445</v>
      </c>
      <c r="F127" t="s">
        <v>419</v>
      </c>
      <c r="G127" t="s">
        <v>420</v>
      </c>
      <c r="H127" t="s">
        <v>453</v>
      </c>
      <c r="I127" t="s">
        <v>454</v>
      </c>
      <c r="J127" t="s">
        <v>28</v>
      </c>
      <c r="K127" t="s">
        <v>33</v>
      </c>
      <c r="L127" t="s">
        <v>52</v>
      </c>
      <c r="M127" s="3" t="s">
        <v>52</v>
      </c>
    </row>
    <row r="128" spans="1:19" x14ac:dyDescent="0.25">
      <c r="A128" t="s">
        <v>19</v>
      </c>
      <c r="B128" t="s">
        <v>20</v>
      </c>
      <c r="C128" t="s">
        <v>444</v>
      </c>
      <c r="D128" t="s">
        <v>22</v>
      </c>
      <c r="E128" t="s">
        <v>445</v>
      </c>
      <c r="F128" t="s">
        <v>419</v>
      </c>
      <c r="G128" t="s">
        <v>420</v>
      </c>
      <c r="H128" t="s">
        <v>455</v>
      </c>
      <c r="I128" t="s">
        <v>456</v>
      </c>
      <c r="J128" t="s">
        <v>28</v>
      </c>
      <c r="K128" t="s">
        <v>33</v>
      </c>
      <c r="L128" t="s">
        <v>52</v>
      </c>
      <c r="M128" s="3" t="s">
        <v>52</v>
      </c>
    </row>
    <row r="129" spans="1:19" x14ac:dyDescent="0.25">
      <c r="A129" t="s">
        <v>19</v>
      </c>
      <c r="B129" t="s">
        <v>20</v>
      </c>
      <c r="C129" t="s">
        <v>457</v>
      </c>
      <c r="D129" t="s">
        <v>22</v>
      </c>
      <c r="E129" t="s">
        <v>458</v>
      </c>
      <c r="F129" t="s">
        <v>419</v>
      </c>
      <c r="G129" t="s">
        <v>62</v>
      </c>
      <c r="H129" t="s">
        <v>459</v>
      </c>
      <c r="I129" t="s">
        <v>460</v>
      </c>
      <c r="J129" t="s">
        <v>28</v>
      </c>
      <c r="K129" t="s">
        <v>461</v>
      </c>
      <c r="L129" t="s">
        <v>30</v>
      </c>
      <c r="M129" s="2" t="s">
        <v>30</v>
      </c>
    </row>
    <row r="130" spans="1:19" x14ac:dyDescent="0.25">
      <c r="A130" t="s">
        <v>19</v>
      </c>
      <c r="B130" t="s">
        <v>20</v>
      </c>
      <c r="C130" t="s">
        <v>457</v>
      </c>
      <c r="D130" t="s">
        <v>22</v>
      </c>
      <c r="E130" t="s">
        <v>458</v>
      </c>
      <c r="F130" t="s">
        <v>419</v>
      </c>
      <c r="G130" t="s">
        <v>62</v>
      </c>
      <c r="H130" t="s">
        <v>462</v>
      </c>
      <c r="I130" t="s">
        <v>463</v>
      </c>
      <c r="J130" t="s">
        <v>28</v>
      </c>
      <c r="K130" t="s">
        <v>461</v>
      </c>
      <c r="L130" t="s">
        <v>30</v>
      </c>
      <c r="M130" s="2" t="s">
        <v>30</v>
      </c>
    </row>
    <row r="131" spans="1:19" x14ac:dyDescent="0.25">
      <c r="A131" t="s">
        <v>19</v>
      </c>
      <c r="B131" t="s">
        <v>20</v>
      </c>
      <c r="C131" t="s">
        <v>457</v>
      </c>
      <c r="D131" t="s">
        <v>22</v>
      </c>
      <c r="E131" t="s">
        <v>458</v>
      </c>
      <c r="F131" t="s">
        <v>419</v>
      </c>
      <c r="G131" t="s">
        <v>62</v>
      </c>
      <c r="H131" t="s">
        <v>464</v>
      </c>
      <c r="I131" t="s">
        <v>465</v>
      </c>
      <c r="J131" t="s">
        <v>28</v>
      </c>
      <c r="K131" t="s">
        <v>33</v>
      </c>
      <c r="L131" t="s">
        <v>52</v>
      </c>
      <c r="M131" s="3" t="s">
        <v>52</v>
      </c>
    </row>
    <row r="132" spans="1:19" x14ac:dyDescent="0.25">
      <c r="A132" t="s">
        <v>19</v>
      </c>
      <c r="B132" t="s">
        <v>20</v>
      </c>
      <c r="C132" t="s">
        <v>457</v>
      </c>
      <c r="D132" t="s">
        <v>22</v>
      </c>
      <c r="E132" t="s">
        <v>458</v>
      </c>
      <c r="F132" t="s">
        <v>419</v>
      </c>
      <c r="G132" t="s">
        <v>62</v>
      </c>
      <c r="H132" t="s">
        <v>466</v>
      </c>
      <c r="I132" t="s">
        <v>467</v>
      </c>
      <c r="J132" t="s">
        <v>28</v>
      </c>
      <c r="K132" t="s">
        <v>461</v>
      </c>
      <c r="L132" t="s">
        <v>30</v>
      </c>
      <c r="M132" s="2" t="s">
        <v>30</v>
      </c>
    </row>
    <row r="133" spans="1:19" x14ac:dyDescent="0.25">
      <c r="A133" t="s">
        <v>19</v>
      </c>
      <c r="B133" t="s">
        <v>20</v>
      </c>
      <c r="C133" t="s">
        <v>468</v>
      </c>
      <c r="D133" t="s">
        <v>22</v>
      </c>
      <c r="E133" t="s">
        <v>469</v>
      </c>
      <c r="F133" t="s">
        <v>19</v>
      </c>
      <c r="G133" t="s">
        <v>62</v>
      </c>
      <c r="H133" t="s">
        <v>470</v>
      </c>
      <c r="I133" t="s">
        <v>471</v>
      </c>
      <c r="J133" t="s">
        <v>28</v>
      </c>
      <c r="K133" t="s">
        <v>461</v>
      </c>
      <c r="L133" t="s">
        <v>30</v>
      </c>
      <c r="M133" s="2" t="s">
        <v>30</v>
      </c>
    </row>
    <row r="134" spans="1:19" x14ac:dyDescent="0.25">
      <c r="A134" t="s">
        <v>19</v>
      </c>
      <c r="B134" t="s">
        <v>20</v>
      </c>
      <c r="C134" t="s">
        <v>468</v>
      </c>
      <c r="D134" t="s">
        <v>22</v>
      </c>
      <c r="E134" t="s">
        <v>469</v>
      </c>
      <c r="F134" t="s">
        <v>19</v>
      </c>
      <c r="G134" t="s">
        <v>62</v>
      </c>
      <c r="H134" t="s">
        <v>472</v>
      </c>
      <c r="I134" t="s">
        <v>473</v>
      </c>
      <c r="J134" t="s">
        <v>28</v>
      </c>
      <c r="K134" t="s">
        <v>461</v>
      </c>
      <c r="L134" t="s">
        <v>30</v>
      </c>
      <c r="M134" s="2" t="s">
        <v>30</v>
      </c>
    </row>
    <row r="135" spans="1:19" x14ac:dyDescent="0.25">
      <c r="A135" t="s">
        <v>19</v>
      </c>
      <c r="B135" t="s">
        <v>20</v>
      </c>
      <c r="C135" t="s">
        <v>468</v>
      </c>
      <c r="D135" t="s">
        <v>22</v>
      </c>
      <c r="E135" t="s">
        <v>469</v>
      </c>
      <c r="F135" t="s">
        <v>19</v>
      </c>
      <c r="G135" t="s">
        <v>62</v>
      </c>
      <c r="H135" t="s">
        <v>474</v>
      </c>
      <c r="I135" t="s">
        <v>475</v>
      </c>
      <c r="J135" t="s">
        <v>28</v>
      </c>
      <c r="K135" t="s">
        <v>461</v>
      </c>
      <c r="L135" t="s">
        <v>30</v>
      </c>
      <c r="M135" s="2" t="s">
        <v>30</v>
      </c>
    </row>
    <row r="136" spans="1:19" x14ac:dyDescent="0.25">
      <c r="A136" t="s">
        <v>19</v>
      </c>
      <c r="B136" t="s">
        <v>20</v>
      </c>
      <c r="C136" t="s">
        <v>476</v>
      </c>
      <c r="D136" t="s">
        <v>22</v>
      </c>
      <c r="E136" t="s">
        <v>477</v>
      </c>
      <c r="F136" t="s">
        <v>19</v>
      </c>
      <c r="G136" t="s">
        <v>62</v>
      </c>
      <c r="H136" t="s">
        <v>478</v>
      </c>
      <c r="I136" t="s">
        <v>479</v>
      </c>
      <c r="J136" t="s">
        <v>28</v>
      </c>
      <c r="K136" t="s">
        <v>152</v>
      </c>
      <c r="L136" t="s">
        <v>30</v>
      </c>
      <c r="M136" s="2" t="s">
        <v>30</v>
      </c>
      <c r="O136" t="s">
        <v>480</v>
      </c>
      <c r="S136" t="s">
        <v>481</v>
      </c>
    </row>
    <row r="137" spans="1:19" x14ac:dyDescent="0.25">
      <c r="A137" t="s">
        <v>19</v>
      </c>
      <c r="B137" t="s">
        <v>20</v>
      </c>
      <c r="C137" t="s">
        <v>476</v>
      </c>
      <c r="D137" t="s">
        <v>22</v>
      </c>
      <c r="E137" t="s">
        <v>477</v>
      </c>
      <c r="F137" t="s">
        <v>19</v>
      </c>
      <c r="G137" t="s">
        <v>62</v>
      </c>
      <c r="H137" t="s">
        <v>482</v>
      </c>
      <c r="I137" t="s">
        <v>483</v>
      </c>
      <c r="J137" t="s">
        <v>28</v>
      </c>
      <c r="K137" t="s">
        <v>461</v>
      </c>
      <c r="L137" t="s">
        <v>30</v>
      </c>
      <c r="M137" s="2" t="s">
        <v>30</v>
      </c>
    </row>
    <row r="138" spans="1:19" x14ac:dyDescent="0.25">
      <c r="A138" t="s">
        <v>19</v>
      </c>
      <c r="B138" t="s">
        <v>20</v>
      </c>
      <c r="C138" t="s">
        <v>476</v>
      </c>
      <c r="D138" t="s">
        <v>22</v>
      </c>
      <c r="E138" t="s">
        <v>477</v>
      </c>
      <c r="F138" t="s">
        <v>19</v>
      </c>
      <c r="G138" t="s">
        <v>62</v>
      </c>
      <c r="H138" t="s">
        <v>484</v>
      </c>
      <c r="I138" t="s">
        <v>485</v>
      </c>
      <c r="J138" t="s">
        <v>28</v>
      </c>
      <c r="K138" t="s">
        <v>461</v>
      </c>
      <c r="L138" t="s">
        <v>30</v>
      </c>
      <c r="M138" s="2" t="s">
        <v>30</v>
      </c>
    </row>
    <row r="139" spans="1:19" x14ac:dyDescent="0.25">
      <c r="A139" t="s">
        <v>19</v>
      </c>
      <c r="B139" t="s">
        <v>20</v>
      </c>
      <c r="C139" t="s">
        <v>476</v>
      </c>
      <c r="D139" t="s">
        <v>22</v>
      </c>
      <c r="E139" t="s">
        <v>477</v>
      </c>
      <c r="F139" t="s">
        <v>19</v>
      </c>
      <c r="G139" t="s">
        <v>62</v>
      </c>
      <c r="H139" t="s">
        <v>486</v>
      </c>
      <c r="I139" t="s">
        <v>487</v>
      </c>
      <c r="J139" t="s">
        <v>28</v>
      </c>
      <c r="K139" t="s">
        <v>461</v>
      </c>
      <c r="L139" t="s">
        <v>52</v>
      </c>
      <c r="M139" s="3" t="s">
        <v>52</v>
      </c>
    </row>
    <row r="140" spans="1:19" x14ac:dyDescent="0.25">
      <c r="A140" t="s">
        <v>19</v>
      </c>
      <c r="B140" t="s">
        <v>20</v>
      </c>
      <c r="C140" t="s">
        <v>476</v>
      </c>
      <c r="D140" t="s">
        <v>22</v>
      </c>
      <c r="E140" t="s">
        <v>477</v>
      </c>
      <c r="F140" t="s">
        <v>19</v>
      </c>
      <c r="G140" t="s">
        <v>62</v>
      </c>
      <c r="H140" t="s">
        <v>488</v>
      </c>
      <c r="I140" t="s">
        <v>489</v>
      </c>
      <c r="J140" t="s">
        <v>28</v>
      </c>
      <c r="K140" t="s">
        <v>65</v>
      </c>
      <c r="L140" t="s">
        <v>52</v>
      </c>
      <c r="M140" s="3" t="s">
        <v>52</v>
      </c>
      <c r="O140" t="s">
        <v>53</v>
      </c>
      <c r="Q140" t="s">
        <v>403</v>
      </c>
    </row>
    <row r="141" spans="1:19" x14ac:dyDescent="0.25">
      <c r="A141" t="s">
        <v>19</v>
      </c>
      <c r="B141" t="s">
        <v>20</v>
      </c>
      <c r="C141" t="s">
        <v>490</v>
      </c>
      <c r="D141" t="s">
        <v>22</v>
      </c>
      <c r="E141" t="s">
        <v>491</v>
      </c>
      <c r="F141" t="s">
        <v>19</v>
      </c>
      <c r="G141" t="s">
        <v>62</v>
      </c>
      <c r="H141" t="s">
        <v>492</v>
      </c>
      <c r="I141" t="s">
        <v>493</v>
      </c>
      <c r="J141" t="s">
        <v>28</v>
      </c>
      <c r="K141" t="s">
        <v>494</v>
      </c>
      <c r="L141" t="s">
        <v>30</v>
      </c>
      <c r="M141" s="2" t="s">
        <v>30</v>
      </c>
      <c r="O141" t="s">
        <v>495</v>
      </c>
    </row>
    <row r="142" spans="1:19" x14ac:dyDescent="0.25">
      <c r="A142" t="s">
        <v>19</v>
      </c>
      <c r="B142" t="s">
        <v>20</v>
      </c>
      <c r="C142" t="s">
        <v>490</v>
      </c>
      <c r="D142" t="s">
        <v>22</v>
      </c>
      <c r="E142" t="s">
        <v>491</v>
      </c>
      <c r="F142" t="s">
        <v>19</v>
      </c>
      <c r="G142" t="s">
        <v>62</v>
      </c>
      <c r="H142" t="s">
        <v>496</v>
      </c>
      <c r="I142" t="s">
        <v>497</v>
      </c>
      <c r="J142" t="s">
        <v>28</v>
      </c>
      <c r="K142" t="s">
        <v>461</v>
      </c>
      <c r="L142" t="s">
        <v>52</v>
      </c>
      <c r="M142" s="3" t="s">
        <v>52</v>
      </c>
    </row>
    <row r="143" spans="1:19" x14ac:dyDescent="0.25">
      <c r="A143" t="s">
        <v>19</v>
      </c>
      <c r="B143" t="s">
        <v>20</v>
      </c>
      <c r="C143" t="s">
        <v>490</v>
      </c>
      <c r="D143" t="s">
        <v>22</v>
      </c>
      <c r="E143" t="s">
        <v>491</v>
      </c>
      <c r="F143" t="s">
        <v>19</v>
      </c>
      <c r="G143" t="s">
        <v>62</v>
      </c>
      <c r="H143" t="s">
        <v>498</v>
      </c>
      <c r="I143" t="s">
        <v>499</v>
      </c>
      <c r="J143" t="s">
        <v>28</v>
      </c>
      <c r="K143" t="s">
        <v>461</v>
      </c>
      <c r="L143" t="s">
        <v>52</v>
      </c>
      <c r="M143" s="3" t="s">
        <v>52</v>
      </c>
    </row>
    <row r="144" spans="1:19" x14ac:dyDescent="0.25">
      <c r="A144" t="s">
        <v>19</v>
      </c>
      <c r="B144" t="s">
        <v>20</v>
      </c>
      <c r="C144" t="s">
        <v>490</v>
      </c>
      <c r="D144" t="s">
        <v>22</v>
      </c>
      <c r="E144" t="s">
        <v>491</v>
      </c>
      <c r="F144" t="s">
        <v>19</v>
      </c>
      <c r="G144" t="s">
        <v>62</v>
      </c>
      <c r="H144" t="s">
        <v>500</v>
      </c>
      <c r="I144" t="s">
        <v>501</v>
      </c>
      <c r="J144" t="s">
        <v>28</v>
      </c>
      <c r="K144" t="s">
        <v>461</v>
      </c>
      <c r="L144" t="s">
        <v>52</v>
      </c>
      <c r="M144" s="3" t="s">
        <v>52</v>
      </c>
    </row>
    <row r="145" spans="1:19" x14ac:dyDescent="0.25">
      <c r="A145" t="s">
        <v>19</v>
      </c>
      <c r="B145" t="s">
        <v>20</v>
      </c>
      <c r="C145" t="s">
        <v>502</v>
      </c>
      <c r="D145" t="s">
        <v>22</v>
      </c>
      <c r="E145" t="s">
        <v>503</v>
      </c>
      <c r="F145" t="s">
        <v>504</v>
      </c>
      <c r="G145" t="s">
        <v>62</v>
      </c>
      <c r="H145" t="s">
        <v>505</v>
      </c>
      <c r="I145" t="s">
        <v>506</v>
      </c>
      <c r="J145" t="s">
        <v>28</v>
      </c>
      <c r="K145" t="s">
        <v>65</v>
      </c>
      <c r="L145" t="s">
        <v>30</v>
      </c>
      <c r="M145" s="2" t="s">
        <v>30</v>
      </c>
    </row>
    <row r="146" spans="1:19" x14ac:dyDescent="0.25">
      <c r="A146" t="s">
        <v>19</v>
      </c>
      <c r="B146" t="s">
        <v>20</v>
      </c>
      <c r="C146" t="s">
        <v>502</v>
      </c>
      <c r="D146" t="s">
        <v>22</v>
      </c>
      <c r="E146" t="s">
        <v>503</v>
      </c>
      <c r="F146" t="s">
        <v>504</v>
      </c>
      <c r="G146" t="s">
        <v>62</v>
      </c>
      <c r="H146" s="97" t="s">
        <v>507</v>
      </c>
      <c r="I146" t="s">
        <v>508</v>
      </c>
      <c r="J146" t="s">
        <v>28</v>
      </c>
      <c r="K146" t="s">
        <v>65</v>
      </c>
      <c r="L146" t="s">
        <v>30</v>
      </c>
      <c r="M146" s="2" t="s">
        <v>30</v>
      </c>
      <c r="N146" t="s">
        <v>3497</v>
      </c>
      <c r="O146" s="104" t="s">
        <v>3532</v>
      </c>
    </row>
    <row r="147" spans="1:19" x14ac:dyDescent="0.25">
      <c r="A147" t="s">
        <v>19</v>
      </c>
      <c r="B147" t="s">
        <v>20</v>
      </c>
      <c r="C147" t="s">
        <v>502</v>
      </c>
      <c r="D147" t="s">
        <v>22</v>
      </c>
      <c r="E147" t="s">
        <v>503</v>
      </c>
      <c r="F147" t="s">
        <v>504</v>
      </c>
      <c r="G147" t="s">
        <v>62</v>
      </c>
      <c r="H147" t="s">
        <v>509</v>
      </c>
      <c r="I147" t="s">
        <v>510</v>
      </c>
      <c r="J147" t="s">
        <v>28</v>
      </c>
      <c r="K147" t="s">
        <v>65</v>
      </c>
      <c r="L147" t="s">
        <v>52</v>
      </c>
      <c r="M147" s="3" t="s">
        <v>52</v>
      </c>
      <c r="O147" t="s">
        <v>511</v>
      </c>
    </row>
    <row r="148" spans="1:19" x14ac:dyDescent="0.25">
      <c r="A148" t="s">
        <v>19</v>
      </c>
      <c r="B148" t="s">
        <v>20</v>
      </c>
      <c r="C148" t="s">
        <v>502</v>
      </c>
      <c r="D148" t="s">
        <v>22</v>
      </c>
      <c r="E148" t="s">
        <v>503</v>
      </c>
      <c r="F148" t="s">
        <v>504</v>
      </c>
      <c r="G148" t="s">
        <v>62</v>
      </c>
      <c r="H148" t="s">
        <v>512</v>
      </c>
      <c r="I148" t="s">
        <v>513</v>
      </c>
      <c r="J148" t="s">
        <v>28</v>
      </c>
      <c r="K148" t="s">
        <v>124</v>
      </c>
      <c r="L148" t="s">
        <v>30</v>
      </c>
      <c r="M148" s="2" t="s">
        <v>30</v>
      </c>
      <c r="O148" t="s">
        <v>514</v>
      </c>
      <c r="R148" t="s">
        <v>515</v>
      </c>
      <c r="S148" t="s">
        <v>516</v>
      </c>
    </row>
    <row r="149" spans="1:19" x14ac:dyDescent="0.25">
      <c r="A149" t="s">
        <v>19</v>
      </c>
      <c r="B149" t="s">
        <v>20</v>
      </c>
      <c r="C149" t="s">
        <v>517</v>
      </c>
      <c r="D149" t="s">
        <v>22</v>
      </c>
      <c r="E149" t="s">
        <v>518</v>
      </c>
      <c r="F149" t="s">
        <v>519</v>
      </c>
      <c r="G149" t="s">
        <v>520</v>
      </c>
      <c r="H149" s="97" t="s">
        <v>521</v>
      </c>
      <c r="I149" t="s">
        <v>522</v>
      </c>
      <c r="J149" t="s">
        <v>28</v>
      </c>
      <c r="K149" t="s">
        <v>65</v>
      </c>
      <c r="L149" t="s">
        <v>30</v>
      </c>
      <c r="M149" s="2" t="s">
        <v>30</v>
      </c>
      <c r="N149" t="s">
        <v>3498</v>
      </c>
      <c r="O149" s="104" t="s">
        <v>3532</v>
      </c>
    </row>
    <row r="150" spans="1:19" x14ac:dyDescent="0.25">
      <c r="A150" t="s">
        <v>19</v>
      </c>
      <c r="B150" t="s">
        <v>20</v>
      </c>
      <c r="C150" t="s">
        <v>517</v>
      </c>
      <c r="D150" t="s">
        <v>22</v>
      </c>
      <c r="E150" t="s">
        <v>518</v>
      </c>
      <c r="F150" t="s">
        <v>519</v>
      </c>
      <c r="G150" t="s">
        <v>520</v>
      </c>
      <c r="H150" s="97" t="s">
        <v>523</v>
      </c>
      <c r="I150" t="s">
        <v>524</v>
      </c>
      <c r="J150" t="s">
        <v>28</v>
      </c>
      <c r="K150" t="s">
        <v>65</v>
      </c>
      <c r="L150" t="s">
        <v>30</v>
      </c>
      <c r="M150" s="2" t="s">
        <v>30</v>
      </c>
      <c r="N150" t="s">
        <v>3499</v>
      </c>
      <c r="O150" s="104" t="s">
        <v>3532</v>
      </c>
    </row>
    <row r="151" spans="1:19" x14ac:dyDescent="0.25">
      <c r="A151" t="s">
        <v>19</v>
      </c>
      <c r="B151" t="s">
        <v>20</v>
      </c>
      <c r="C151" t="s">
        <v>517</v>
      </c>
      <c r="D151" t="s">
        <v>22</v>
      </c>
      <c r="E151" t="s">
        <v>518</v>
      </c>
      <c r="F151" t="s">
        <v>519</v>
      </c>
      <c r="G151" t="s">
        <v>520</v>
      </c>
      <c r="H151" t="s">
        <v>525</v>
      </c>
      <c r="I151" t="s">
        <v>526</v>
      </c>
      <c r="J151" t="s">
        <v>28</v>
      </c>
      <c r="K151" t="s">
        <v>65</v>
      </c>
      <c r="L151" t="s">
        <v>30</v>
      </c>
      <c r="M151" s="2" t="s">
        <v>30</v>
      </c>
    </row>
    <row r="152" spans="1:19" x14ac:dyDescent="0.25">
      <c r="A152" t="s">
        <v>19</v>
      </c>
      <c r="B152" t="s">
        <v>20</v>
      </c>
      <c r="C152" t="s">
        <v>517</v>
      </c>
      <c r="D152" t="s">
        <v>22</v>
      </c>
      <c r="E152" t="s">
        <v>518</v>
      </c>
      <c r="F152" t="s">
        <v>519</v>
      </c>
      <c r="G152" t="s">
        <v>520</v>
      </c>
      <c r="H152" t="s">
        <v>527</v>
      </c>
      <c r="I152" t="s">
        <v>528</v>
      </c>
      <c r="J152" t="s">
        <v>28</v>
      </c>
      <c r="K152" t="s">
        <v>65</v>
      </c>
      <c r="L152" t="s">
        <v>30</v>
      </c>
      <c r="M152" s="2" t="s">
        <v>30</v>
      </c>
    </row>
    <row r="153" spans="1:19" x14ac:dyDescent="0.25">
      <c r="A153" t="s">
        <v>19</v>
      </c>
      <c r="B153" t="s">
        <v>20</v>
      </c>
      <c r="C153" t="s">
        <v>529</v>
      </c>
      <c r="D153" t="s">
        <v>59</v>
      </c>
      <c r="E153" t="s">
        <v>530</v>
      </c>
      <c r="F153" t="s">
        <v>531</v>
      </c>
      <c r="G153" t="s">
        <v>532</v>
      </c>
      <c r="H153" s="97" t="s">
        <v>533</v>
      </c>
      <c r="I153" t="s">
        <v>534</v>
      </c>
      <c r="J153" t="s">
        <v>28</v>
      </c>
      <c r="K153" t="s">
        <v>65</v>
      </c>
      <c r="L153" t="s">
        <v>30</v>
      </c>
      <c r="M153" s="2" t="s">
        <v>30</v>
      </c>
      <c r="N153" t="s">
        <v>3500</v>
      </c>
      <c r="O153" s="104" t="s">
        <v>3532</v>
      </c>
      <c r="P153" t="s">
        <v>126</v>
      </c>
    </row>
    <row r="154" spans="1:19" x14ac:dyDescent="0.25">
      <c r="A154" t="s">
        <v>19</v>
      </c>
      <c r="B154" t="s">
        <v>20</v>
      </c>
      <c r="C154" t="s">
        <v>529</v>
      </c>
      <c r="D154" t="s">
        <v>59</v>
      </c>
      <c r="E154" t="s">
        <v>530</v>
      </c>
      <c r="F154" t="s">
        <v>531</v>
      </c>
      <c r="G154" t="s">
        <v>532</v>
      </c>
      <c r="H154" s="97" t="s">
        <v>535</v>
      </c>
      <c r="I154" t="s">
        <v>536</v>
      </c>
      <c r="J154" t="s">
        <v>28</v>
      </c>
      <c r="K154" t="s">
        <v>152</v>
      </c>
      <c r="L154" t="s">
        <v>30</v>
      </c>
      <c r="M154" s="2" t="s">
        <v>30</v>
      </c>
      <c r="N154" t="s">
        <v>3501</v>
      </c>
      <c r="O154" s="104" t="s">
        <v>3532</v>
      </c>
      <c r="P154" t="s">
        <v>126</v>
      </c>
      <c r="S154" t="s">
        <v>537</v>
      </c>
    </row>
    <row r="155" spans="1:19" x14ac:dyDescent="0.25">
      <c r="A155" t="s">
        <v>19</v>
      </c>
      <c r="B155" t="s">
        <v>20</v>
      </c>
      <c r="C155" t="s">
        <v>529</v>
      </c>
      <c r="D155" t="s">
        <v>59</v>
      </c>
      <c r="E155" t="s">
        <v>530</v>
      </c>
      <c r="F155" t="s">
        <v>531</v>
      </c>
      <c r="G155" t="s">
        <v>532</v>
      </c>
      <c r="H155" s="97" t="s">
        <v>538</v>
      </c>
      <c r="I155" t="s">
        <v>539</v>
      </c>
      <c r="J155" t="s">
        <v>28</v>
      </c>
      <c r="K155" t="s">
        <v>65</v>
      </c>
      <c r="L155" t="s">
        <v>30</v>
      </c>
      <c r="M155" s="2" t="s">
        <v>30</v>
      </c>
      <c r="N155" t="s">
        <v>3502</v>
      </c>
      <c r="O155" s="104" t="s">
        <v>3532</v>
      </c>
    </row>
    <row r="156" spans="1:19" x14ac:dyDescent="0.25">
      <c r="A156" t="s">
        <v>19</v>
      </c>
      <c r="B156" t="s">
        <v>20</v>
      </c>
      <c r="C156" t="s">
        <v>540</v>
      </c>
      <c r="D156" t="s">
        <v>59</v>
      </c>
      <c r="E156" t="s">
        <v>541</v>
      </c>
      <c r="F156" t="s">
        <v>531</v>
      </c>
      <c r="G156" t="s">
        <v>141</v>
      </c>
      <c r="H156" t="s">
        <v>542</v>
      </c>
      <c r="I156" t="s">
        <v>543</v>
      </c>
      <c r="J156" t="s">
        <v>28</v>
      </c>
      <c r="K156" t="s">
        <v>65</v>
      </c>
      <c r="L156" t="s">
        <v>30</v>
      </c>
      <c r="M156" s="2" t="s">
        <v>30</v>
      </c>
    </row>
    <row r="157" spans="1:19" x14ac:dyDescent="0.25">
      <c r="A157" t="s">
        <v>19</v>
      </c>
      <c r="B157" t="s">
        <v>20</v>
      </c>
      <c r="C157" t="s">
        <v>540</v>
      </c>
      <c r="D157" t="s">
        <v>59</v>
      </c>
      <c r="E157" t="s">
        <v>541</v>
      </c>
      <c r="F157" t="s">
        <v>531</v>
      </c>
      <c r="G157" t="s">
        <v>141</v>
      </c>
      <c r="H157" s="97" t="s">
        <v>544</v>
      </c>
      <c r="I157" t="s">
        <v>545</v>
      </c>
      <c r="J157" t="s">
        <v>28</v>
      </c>
      <c r="K157" t="s">
        <v>65</v>
      </c>
      <c r="L157" t="s">
        <v>30</v>
      </c>
      <c r="M157" s="2" t="s">
        <v>30</v>
      </c>
      <c r="N157" t="s">
        <v>3503</v>
      </c>
      <c r="O157" s="104" t="s">
        <v>3532</v>
      </c>
    </row>
    <row r="158" spans="1:19" x14ac:dyDescent="0.25">
      <c r="A158" t="s">
        <v>19</v>
      </c>
      <c r="B158" t="s">
        <v>20</v>
      </c>
      <c r="C158" t="s">
        <v>540</v>
      </c>
      <c r="D158" t="s">
        <v>59</v>
      </c>
      <c r="E158" t="s">
        <v>541</v>
      </c>
      <c r="F158" t="s">
        <v>531</v>
      </c>
      <c r="G158" t="s">
        <v>141</v>
      </c>
      <c r="H158" t="s">
        <v>546</v>
      </c>
      <c r="I158" t="s">
        <v>547</v>
      </c>
      <c r="J158" t="s">
        <v>28</v>
      </c>
      <c r="K158" t="s">
        <v>65</v>
      </c>
      <c r="L158" t="s">
        <v>30</v>
      </c>
      <c r="M158" s="2" t="s">
        <v>30</v>
      </c>
    </row>
    <row r="159" spans="1:19" x14ac:dyDescent="0.25">
      <c r="A159" t="s">
        <v>19</v>
      </c>
      <c r="B159" t="s">
        <v>20</v>
      </c>
      <c r="C159" t="s">
        <v>548</v>
      </c>
      <c r="D159" t="s">
        <v>59</v>
      </c>
      <c r="E159" t="s">
        <v>549</v>
      </c>
      <c r="F159" t="s">
        <v>531</v>
      </c>
      <c r="G159" t="s">
        <v>532</v>
      </c>
      <c r="H159" t="s">
        <v>550</v>
      </c>
      <c r="I159" t="s">
        <v>551</v>
      </c>
      <c r="J159" t="s">
        <v>28</v>
      </c>
      <c r="K159" t="s">
        <v>65</v>
      </c>
      <c r="L159" t="s">
        <v>30</v>
      </c>
      <c r="M159" s="2" t="s">
        <v>30</v>
      </c>
    </row>
    <row r="160" spans="1:19" x14ac:dyDescent="0.25">
      <c r="A160" t="s">
        <v>19</v>
      </c>
      <c r="B160" t="s">
        <v>20</v>
      </c>
      <c r="C160" t="s">
        <v>548</v>
      </c>
      <c r="D160" t="s">
        <v>59</v>
      </c>
      <c r="E160" t="s">
        <v>549</v>
      </c>
      <c r="F160" t="s">
        <v>531</v>
      </c>
      <c r="G160" t="s">
        <v>532</v>
      </c>
      <c r="H160" t="s">
        <v>552</v>
      </c>
      <c r="I160" t="s">
        <v>553</v>
      </c>
      <c r="J160" t="s">
        <v>28</v>
      </c>
      <c r="K160" t="s">
        <v>65</v>
      </c>
      <c r="L160" t="s">
        <v>30</v>
      </c>
      <c r="M160" s="2" t="s">
        <v>30</v>
      </c>
    </row>
    <row r="161" spans="1:19" x14ac:dyDescent="0.25">
      <c r="A161" t="s">
        <v>19</v>
      </c>
      <c r="B161" t="s">
        <v>20</v>
      </c>
      <c r="C161" t="s">
        <v>548</v>
      </c>
      <c r="D161" t="s">
        <v>59</v>
      </c>
      <c r="E161" t="s">
        <v>549</v>
      </c>
      <c r="F161" t="s">
        <v>531</v>
      </c>
      <c r="G161" t="s">
        <v>532</v>
      </c>
      <c r="H161" t="s">
        <v>554</v>
      </c>
      <c r="I161" t="s">
        <v>555</v>
      </c>
      <c r="J161" t="s">
        <v>28</v>
      </c>
      <c r="K161" t="s">
        <v>65</v>
      </c>
      <c r="L161" t="s">
        <v>30</v>
      </c>
      <c r="M161" s="2" t="s">
        <v>30</v>
      </c>
    </row>
    <row r="162" spans="1:19" x14ac:dyDescent="0.25">
      <c r="A162" t="s">
        <v>19</v>
      </c>
      <c r="B162" t="s">
        <v>20</v>
      </c>
      <c r="C162" t="s">
        <v>548</v>
      </c>
      <c r="D162" t="s">
        <v>59</v>
      </c>
      <c r="E162" t="s">
        <v>549</v>
      </c>
      <c r="F162" t="s">
        <v>531</v>
      </c>
      <c r="G162" t="s">
        <v>532</v>
      </c>
      <c r="H162" t="s">
        <v>556</v>
      </c>
      <c r="I162" t="s">
        <v>557</v>
      </c>
      <c r="J162" t="s">
        <v>28</v>
      </c>
      <c r="K162" t="s">
        <v>65</v>
      </c>
      <c r="L162" t="s">
        <v>30</v>
      </c>
      <c r="M162" s="2" t="s">
        <v>30</v>
      </c>
    </row>
    <row r="163" spans="1:19" x14ac:dyDescent="0.25">
      <c r="A163" t="s">
        <v>19</v>
      </c>
      <c r="B163" t="s">
        <v>20</v>
      </c>
      <c r="C163" t="s">
        <v>558</v>
      </c>
      <c r="D163" t="s">
        <v>59</v>
      </c>
      <c r="E163" t="s">
        <v>559</v>
      </c>
      <c r="F163" t="s">
        <v>531</v>
      </c>
      <c r="G163" t="s">
        <v>141</v>
      </c>
      <c r="H163" t="s">
        <v>560</v>
      </c>
      <c r="I163" t="s">
        <v>561</v>
      </c>
      <c r="J163" t="s">
        <v>28</v>
      </c>
      <c r="K163" t="s">
        <v>174</v>
      </c>
      <c r="L163" t="s">
        <v>30</v>
      </c>
      <c r="M163" s="2" t="s">
        <v>30</v>
      </c>
      <c r="O163" t="s">
        <v>562</v>
      </c>
      <c r="Q163" t="s">
        <v>563</v>
      </c>
      <c r="R163" t="s">
        <v>177</v>
      </c>
      <c r="S163" t="s">
        <v>564</v>
      </c>
    </row>
    <row r="164" spans="1:19" x14ac:dyDescent="0.25">
      <c r="A164" t="s">
        <v>19</v>
      </c>
      <c r="B164" t="s">
        <v>20</v>
      </c>
      <c r="C164" t="s">
        <v>558</v>
      </c>
      <c r="D164" t="s">
        <v>59</v>
      </c>
      <c r="E164" t="s">
        <v>559</v>
      </c>
      <c r="F164" t="s">
        <v>531</v>
      </c>
      <c r="G164" t="s">
        <v>141</v>
      </c>
      <c r="H164" t="s">
        <v>565</v>
      </c>
      <c r="I164" t="s">
        <v>566</v>
      </c>
      <c r="J164" t="s">
        <v>28</v>
      </c>
      <c r="K164" t="s">
        <v>124</v>
      </c>
      <c r="L164" t="s">
        <v>52</v>
      </c>
      <c r="M164" s="3" t="s">
        <v>52</v>
      </c>
      <c r="O164" t="s">
        <v>567</v>
      </c>
      <c r="R164" t="s">
        <v>152</v>
      </c>
      <c r="S164" t="s">
        <v>568</v>
      </c>
    </row>
    <row r="165" spans="1:19" x14ac:dyDescent="0.25">
      <c r="A165" t="s">
        <v>19</v>
      </c>
      <c r="B165" t="s">
        <v>20</v>
      </c>
      <c r="C165" t="s">
        <v>569</v>
      </c>
      <c r="D165" t="s">
        <v>59</v>
      </c>
      <c r="E165" t="s">
        <v>570</v>
      </c>
      <c r="F165" t="s">
        <v>531</v>
      </c>
      <c r="G165" t="s">
        <v>141</v>
      </c>
      <c r="H165" t="s">
        <v>571</v>
      </c>
      <c r="I165" t="s">
        <v>572</v>
      </c>
      <c r="J165" t="s">
        <v>28</v>
      </c>
      <c r="K165" t="s">
        <v>65</v>
      </c>
      <c r="L165" t="s">
        <v>30</v>
      </c>
      <c r="M165" s="2" t="s">
        <v>30</v>
      </c>
    </row>
    <row r="166" spans="1:19" x14ac:dyDescent="0.25">
      <c r="A166" t="s">
        <v>19</v>
      </c>
      <c r="B166" t="s">
        <v>20</v>
      </c>
      <c r="C166" t="s">
        <v>569</v>
      </c>
      <c r="D166" t="s">
        <v>59</v>
      </c>
      <c r="E166" t="s">
        <v>570</v>
      </c>
      <c r="F166" t="s">
        <v>531</v>
      </c>
      <c r="G166" t="s">
        <v>141</v>
      </c>
      <c r="H166" t="s">
        <v>573</v>
      </c>
      <c r="I166" t="s">
        <v>574</v>
      </c>
      <c r="J166" t="s">
        <v>28</v>
      </c>
      <c r="K166" t="s">
        <v>65</v>
      </c>
      <c r="L166" t="s">
        <v>30</v>
      </c>
      <c r="M166" s="2" t="s">
        <v>30</v>
      </c>
    </row>
    <row r="167" spans="1:19" s="84" customFormat="1" x14ac:dyDescent="0.25">
      <c r="A167" s="84" t="s">
        <v>19</v>
      </c>
      <c r="B167" s="84" t="s">
        <v>20</v>
      </c>
      <c r="C167" s="84" t="s">
        <v>575</v>
      </c>
      <c r="D167" s="84" t="s">
        <v>22</v>
      </c>
      <c r="E167" s="84" t="s">
        <v>576</v>
      </c>
      <c r="F167" s="84" t="s">
        <v>61</v>
      </c>
      <c r="G167" s="84" t="s">
        <v>115</v>
      </c>
      <c r="H167" s="84" t="s">
        <v>577</v>
      </c>
      <c r="I167" s="84" t="s">
        <v>578</v>
      </c>
      <c r="J167" s="84" t="s">
        <v>28</v>
      </c>
      <c r="K167" s="84" t="s">
        <v>439</v>
      </c>
      <c r="L167" t="s">
        <v>30</v>
      </c>
      <c r="M167" s="2" t="s">
        <v>30</v>
      </c>
      <c r="N167" s="84" t="s">
        <v>22</v>
      </c>
      <c r="O167" s="84" t="s">
        <v>579</v>
      </c>
      <c r="R167" s="84" t="s">
        <v>38</v>
      </c>
    </row>
    <row r="168" spans="1:19" x14ac:dyDescent="0.25">
      <c r="A168" t="s">
        <v>19</v>
      </c>
      <c r="B168" t="s">
        <v>20</v>
      </c>
      <c r="C168" t="s">
        <v>575</v>
      </c>
      <c r="D168" t="s">
        <v>22</v>
      </c>
      <c r="E168" t="s">
        <v>576</v>
      </c>
      <c r="F168" t="s">
        <v>61</v>
      </c>
      <c r="G168" t="s">
        <v>115</v>
      </c>
      <c r="H168" t="s">
        <v>580</v>
      </c>
      <c r="I168" t="s">
        <v>581</v>
      </c>
      <c r="J168" t="s">
        <v>28</v>
      </c>
      <c r="K168" t="s">
        <v>439</v>
      </c>
      <c r="L168" t="s">
        <v>30</v>
      </c>
      <c r="M168" s="2" t="s">
        <v>30</v>
      </c>
      <c r="O168" t="s">
        <v>579</v>
      </c>
      <c r="R168" t="s">
        <v>38</v>
      </c>
    </row>
    <row r="169" spans="1:19" x14ac:dyDescent="0.25">
      <c r="A169" t="s">
        <v>19</v>
      </c>
      <c r="B169" t="s">
        <v>20</v>
      </c>
      <c r="C169" t="s">
        <v>575</v>
      </c>
      <c r="D169" t="s">
        <v>22</v>
      </c>
      <c r="E169" t="s">
        <v>576</v>
      </c>
      <c r="F169" t="s">
        <v>61</v>
      </c>
      <c r="G169" t="s">
        <v>115</v>
      </c>
      <c r="H169" t="s">
        <v>582</v>
      </c>
      <c r="I169" t="s">
        <v>583</v>
      </c>
      <c r="J169" t="s">
        <v>28</v>
      </c>
      <c r="K169" t="s">
        <v>439</v>
      </c>
      <c r="L169" t="s">
        <v>30</v>
      </c>
      <c r="M169" s="2" t="s">
        <v>30</v>
      </c>
      <c r="O169" t="s">
        <v>579</v>
      </c>
      <c r="R169" t="s">
        <v>38</v>
      </c>
    </row>
    <row r="170" spans="1:19" x14ac:dyDescent="0.25">
      <c r="A170" t="s">
        <v>19</v>
      </c>
      <c r="B170" t="s">
        <v>20</v>
      </c>
      <c r="C170" t="s">
        <v>575</v>
      </c>
      <c r="D170" t="s">
        <v>22</v>
      </c>
      <c r="E170" t="s">
        <v>576</v>
      </c>
      <c r="F170" t="s">
        <v>61</v>
      </c>
      <c r="G170" t="s">
        <v>115</v>
      </c>
      <c r="H170" t="s">
        <v>584</v>
      </c>
      <c r="I170" t="s">
        <v>585</v>
      </c>
      <c r="J170" t="s">
        <v>28</v>
      </c>
      <c r="K170" t="s">
        <v>439</v>
      </c>
      <c r="L170" t="s">
        <v>30</v>
      </c>
      <c r="M170" s="2" t="s">
        <v>30</v>
      </c>
      <c r="O170" t="s">
        <v>579</v>
      </c>
      <c r="R170" t="s">
        <v>38</v>
      </c>
    </row>
    <row r="171" spans="1:19" x14ac:dyDescent="0.25">
      <c r="A171" t="s">
        <v>19</v>
      </c>
      <c r="B171" t="s">
        <v>20</v>
      </c>
      <c r="C171" t="s">
        <v>586</v>
      </c>
      <c r="D171" t="s">
        <v>59</v>
      </c>
      <c r="E171" t="s">
        <v>587</v>
      </c>
      <c r="F171" t="s">
        <v>19</v>
      </c>
      <c r="G171" t="s">
        <v>588</v>
      </c>
      <c r="H171" t="s">
        <v>589</v>
      </c>
      <c r="I171" t="s">
        <v>590</v>
      </c>
      <c r="J171" t="s">
        <v>28</v>
      </c>
      <c r="K171" t="s">
        <v>33</v>
      </c>
      <c r="L171" t="s">
        <v>30</v>
      </c>
      <c r="M171" s="2" t="s">
        <v>30</v>
      </c>
      <c r="O171" t="s">
        <v>183</v>
      </c>
    </row>
    <row r="172" spans="1:19" x14ac:dyDescent="0.25">
      <c r="A172" t="s">
        <v>19</v>
      </c>
      <c r="B172" t="s">
        <v>20</v>
      </c>
      <c r="C172" t="s">
        <v>586</v>
      </c>
      <c r="D172" t="s">
        <v>59</v>
      </c>
      <c r="E172" t="s">
        <v>591</v>
      </c>
      <c r="F172" t="s">
        <v>19</v>
      </c>
      <c r="G172" t="s">
        <v>588</v>
      </c>
      <c r="H172" t="s">
        <v>592</v>
      </c>
      <c r="I172" t="s">
        <v>593</v>
      </c>
      <c r="J172" t="s">
        <v>28</v>
      </c>
      <c r="K172" t="s">
        <v>65</v>
      </c>
      <c r="L172" t="s">
        <v>30</v>
      </c>
      <c r="M172" s="2" t="s">
        <v>30</v>
      </c>
    </row>
    <row r="173" spans="1:19" x14ac:dyDescent="0.25">
      <c r="A173" t="s">
        <v>19</v>
      </c>
      <c r="B173" t="s">
        <v>20</v>
      </c>
      <c r="C173" t="s">
        <v>586</v>
      </c>
      <c r="D173" t="s">
        <v>59</v>
      </c>
      <c r="E173" t="s">
        <v>591</v>
      </c>
      <c r="F173" t="s">
        <v>19</v>
      </c>
      <c r="G173" t="s">
        <v>588</v>
      </c>
      <c r="H173" t="s">
        <v>594</v>
      </c>
      <c r="I173" t="s">
        <v>595</v>
      </c>
      <c r="J173" t="s">
        <v>28</v>
      </c>
      <c r="K173" t="s">
        <v>65</v>
      </c>
      <c r="L173" t="s">
        <v>52</v>
      </c>
      <c r="M173" s="3" t="s">
        <v>52</v>
      </c>
      <c r="O173" t="s">
        <v>596</v>
      </c>
      <c r="Q173" t="s">
        <v>403</v>
      </c>
    </row>
    <row r="174" spans="1:19" x14ac:dyDescent="0.25">
      <c r="A174" t="s">
        <v>19</v>
      </c>
      <c r="B174" t="s">
        <v>20</v>
      </c>
      <c r="C174" t="s">
        <v>586</v>
      </c>
      <c r="D174" t="s">
        <v>59</v>
      </c>
      <c r="E174" t="s">
        <v>591</v>
      </c>
      <c r="F174" t="s">
        <v>19</v>
      </c>
      <c r="G174" t="s">
        <v>588</v>
      </c>
      <c r="H174" t="s">
        <v>597</v>
      </c>
      <c r="I174" t="s">
        <v>598</v>
      </c>
      <c r="J174" t="s">
        <v>28</v>
      </c>
      <c r="K174" t="s">
        <v>65</v>
      </c>
      <c r="L174" t="s">
        <v>30</v>
      </c>
      <c r="M174" s="2" t="s">
        <v>30</v>
      </c>
    </row>
    <row r="175" spans="1:19" x14ac:dyDescent="0.25">
      <c r="A175" t="s">
        <v>19</v>
      </c>
      <c r="B175" t="s">
        <v>20</v>
      </c>
      <c r="C175" t="s">
        <v>586</v>
      </c>
      <c r="D175" t="s">
        <v>59</v>
      </c>
      <c r="E175" t="s">
        <v>591</v>
      </c>
      <c r="F175" t="s">
        <v>19</v>
      </c>
      <c r="G175" t="s">
        <v>588</v>
      </c>
      <c r="H175" t="s">
        <v>599</v>
      </c>
      <c r="I175" t="s">
        <v>600</v>
      </c>
      <c r="J175" t="s">
        <v>28</v>
      </c>
      <c r="K175" t="s">
        <v>65</v>
      </c>
      <c r="L175" t="s">
        <v>30</v>
      </c>
      <c r="M175" s="2" t="s">
        <v>30</v>
      </c>
    </row>
    <row r="176" spans="1:19" x14ac:dyDescent="0.25">
      <c r="A176" t="s">
        <v>601</v>
      </c>
      <c r="B176" t="s">
        <v>601</v>
      </c>
      <c r="C176" t="s">
        <v>602</v>
      </c>
      <c r="D176" t="s">
        <v>603</v>
      </c>
      <c r="E176" t="s">
        <v>604</v>
      </c>
      <c r="F176" t="s">
        <v>601</v>
      </c>
      <c r="G176" t="s">
        <v>605</v>
      </c>
      <c r="H176" t="s">
        <v>606</v>
      </c>
      <c r="I176" t="s">
        <v>607</v>
      </c>
      <c r="J176" t="s">
        <v>28</v>
      </c>
      <c r="K176" t="s">
        <v>152</v>
      </c>
      <c r="L176" t="s">
        <v>30</v>
      </c>
      <c r="M176" s="2" t="s">
        <v>30</v>
      </c>
    </row>
    <row r="177" spans="1:19" x14ac:dyDescent="0.25">
      <c r="A177" t="s">
        <v>601</v>
      </c>
      <c r="B177" t="s">
        <v>601</v>
      </c>
      <c r="C177" t="s">
        <v>608</v>
      </c>
      <c r="D177" t="s">
        <v>603</v>
      </c>
      <c r="E177" t="s">
        <v>609</v>
      </c>
      <c r="F177" t="s">
        <v>601</v>
      </c>
      <c r="G177" t="s">
        <v>610</v>
      </c>
      <c r="H177" t="s">
        <v>611</v>
      </c>
      <c r="I177" t="s">
        <v>612</v>
      </c>
      <c r="J177" t="s">
        <v>28</v>
      </c>
      <c r="K177" t="s">
        <v>152</v>
      </c>
      <c r="L177" t="s">
        <v>30</v>
      </c>
      <c r="M177" s="2" t="s">
        <v>30</v>
      </c>
      <c r="O177" t="s">
        <v>613</v>
      </c>
    </row>
    <row r="178" spans="1:19" x14ac:dyDescent="0.25">
      <c r="A178" t="s">
        <v>601</v>
      </c>
      <c r="B178" t="s">
        <v>601</v>
      </c>
      <c r="C178" t="s">
        <v>608</v>
      </c>
      <c r="D178" t="s">
        <v>603</v>
      </c>
      <c r="E178" t="s">
        <v>609</v>
      </c>
      <c r="F178" t="s">
        <v>601</v>
      </c>
      <c r="G178" t="s">
        <v>610</v>
      </c>
      <c r="H178" t="s">
        <v>614</v>
      </c>
      <c r="I178" t="s">
        <v>615</v>
      </c>
      <c r="J178" t="s">
        <v>28</v>
      </c>
      <c r="K178" t="s">
        <v>152</v>
      </c>
      <c r="L178" t="s">
        <v>30</v>
      </c>
      <c r="M178" s="2" t="s">
        <v>30</v>
      </c>
    </row>
    <row r="179" spans="1:19" x14ac:dyDescent="0.25">
      <c r="A179" t="s">
        <v>601</v>
      </c>
      <c r="B179" t="s">
        <v>601</v>
      </c>
      <c r="C179" t="s">
        <v>608</v>
      </c>
      <c r="D179" t="s">
        <v>603</v>
      </c>
      <c r="E179" t="s">
        <v>609</v>
      </c>
      <c r="F179" t="s">
        <v>601</v>
      </c>
      <c r="G179" t="s">
        <v>610</v>
      </c>
      <c r="H179" t="s">
        <v>616</v>
      </c>
      <c r="I179" t="s">
        <v>617</v>
      </c>
      <c r="J179" t="s">
        <v>28</v>
      </c>
      <c r="K179" t="s">
        <v>618</v>
      </c>
      <c r="L179" t="s">
        <v>30</v>
      </c>
      <c r="M179" s="2" t="s">
        <v>30</v>
      </c>
      <c r="O179" t="s">
        <v>619</v>
      </c>
    </row>
    <row r="180" spans="1:19" x14ac:dyDescent="0.25">
      <c r="A180" t="s">
        <v>601</v>
      </c>
      <c r="B180" t="s">
        <v>601</v>
      </c>
      <c r="C180" t="s">
        <v>608</v>
      </c>
      <c r="D180" t="s">
        <v>603</v>
      </c>
      <c r="E180" t="s">
        <v>609</v>
      </c>
      <c r="F180" t="s">
        <v>601</v>
      </c>
      <c r="G180" t="s">
        <v>610</v>
      </c>
      <c r="H180" t="s">
        <v>620</v>
      </c>
      <c r="I180" t="s">
        <v>621</v>
      </c>
      <c r="J180" t="s">
        <v>28</v>
      </c>
      <c r="K180" t="s">
        <v>622</v>
      </c>
      <c r="L180" t="s">
        <v>623</v>
      </c>
      <c r="M180" s="6" t="s">
        <v>373</v>
      </c>
      <c r="O180" t="s">
        <v>624</v>
      </c>
    </row>
    <row r="181" spans="1:19" x14ac:dyDescent="0.25">
      <c r="A181" t="s">
        <v>601</v>
      </c>
      <c r="B181" t="s">
        <v>601</v>
      </c>
      <c r="C181" t="s">
        <v>625</v>
      </c>
      <c r="D181" t="s">
        <v>603</v>
      </c>
      <c r="E181" t="s">
        <v>626</v>
      </c>
      <c r="F181" t="s">
        <v>601</v>
      </c>
      <c r="G181" t="s">
        <v>62</v>
      </c>
      <c r="H181" t="s">
        <v>627</v>
      </c>
      <c r="I181" t="s">
        <v>628</v>
      </c>
      <c r="J181" t="s">
        <v>28</v>
      </c>
      <c r="K181" t="s">
        <v>38</v>
      </c>
      <c r="L181" t="s">
        <v>186</v>
      </c>
      <c r="M181" s="5" t="s">
        <v>187</v>
      </c>
      <c r="N181" t="s">
        <v>3504</v>
      </c>
      <c r="O181" t="s">
        <v>629</v>
      </c>
    </row>
    <row r="182" spans="1:19" x14ac:dyDescent="0.25">
      <c r="A182" t="s">
        <v>601</v>
      </c>
      <c r="B182" t="s">
        <v>601</v>
      </c>
      <c r="C182" t="s">
        <v>625</v>
      </c>
      <c r="D182" t="s">
        <v>603</v>
      </c>
      <c r="E182" t="s">
        <v>626</v>
      </c>
      <c r="F182" t="s">
        <v>601</v>
      </c>
      <c r="G182" t="s">
        <v>62</v>
      </c>
      <c r="H182" t="s">
        <v>630</v>
      </c>
      <c r="I182" t="s">
        <v>631</v>
      </c>
      <c r="J182" t="s">
        <v>28</v>
      </c>
      <c r="K182" t="s">
        <v>632</v>
      </c>
      <c r="L182" t="s">
        <v>30</v>
      </c>
      <c r="M182" s="2" t="s">
        <v>30</v>
      </c>
      <c r="O182" t="s">
        <v>633</v>
      </c>
      <c r="R182" t="s">
        <v>634</v>
      </c>
    </row>
    <row r="183" spans="1:19" x14ac:dyDescent="0.25">
      <c r="A183" t="s">
        <v>601</v>
      </c>
      <c r="B183" t="s">
        <v>601</v>
      </c>
      <c r="C183" t="s">
        <v>625</v>
      </c>
      <c r="D183" t="s">
        <v>603</v>
      </c>
      <c r="E183" t="s">
        <v>626</v>
      </c>
      <c r="F183" t="s">
        <v>601</v>
      </c>
      <c r="G183" t="s">
        <v>62</v>
      </c>
      <c r="H183" t="s">
        <v>635</v>
      </c>
      <c r="I183" t="s">
        <v>636</v>
      </c>
      <c r="J183" t="s">
        <v>28</v>
      </c>
      <c r="K183" t="s">
        <v>637</v>
      </c>
      <c r="L183" t="s">
        <v>30</v>
      </c>
      <c r="M183" s="2" t="s">
        <v>30</v>
      </c>
      <c r="O183" t="s">
        <v>638</v>
      </c>
    </row>
    <row r="184" spans="1:19" x14ac:dyDescent="0.25">
      <c r="A184" t="s">
        <v>601</v>
      </c>
      <c r="B184" t="s">
        <v>601</v>
      </c>
      <c r="C184" t="s">
        <v>625</v>
      </c>
      <c r="D184" t="s">
        <v>603</v>
      </c>
      <c r="E184" t="s">
        <v>626</v>
      </c>
      <c r="F184" t="s">
        <v>601</v>
      </c>
      <c r="G184" t="s">
        <v>62</v>
      </c>
      <c r="H184" t="s">
        <v>639</v>
      </c>
      <c r="I184" t="s">
        <v>640</v>
      </c>
      <c r="J184" t="s">
        <v>28</v>
      </c>
      <c r="K184" t="s">
        <v>152</v>
      </c>
      <c r="L184" t="s">
        <v>30</v>
      </c>
      <c r="M184" s="2" t="s">
        <v>30</v>
      </c>
      <c r="O184" t="s">
        <v>641</v>
      </c>
    </row>
    <row r="185" spans="1:19" x14ac:dyDescent="0.25">
      <c r="A185" t="s">
        <v>601</v>
      </c>
      <c r="B185" t="s">
        <v>601</v>
      </c>
      <c r="C185" t="s">
        <v>625</v>
      </c>
      <c r="D185" t="s">
        <v>603</v>
      </c>
      <c r="E185" t="s">
        <v>626</v>
      </c>
      <c r="F185" t="s">
        <v>601</v>
      </c>
      <c r="G185" t="s">
        <v>62</v>
      </c>
      <c r="H185" t="s">
        <v>642</v>
      </c>
      <c r="I185" t="s">
        <v>643</v>
      </c>
      <c r="J185" t="s">
        <v>28</v>
      </c>
      <c r="K185" t="s">
        <v>152</v>
      </c>
      <c r="L185" t="s">
        <v>52</v>
      </c>
      <c r="M185" s="3" t="s">
        <v>52</v>
      </c>
      <c r="O185" t="s">
        <v>644</v>
      </c>
      <c r="S185" t="s">
        <v>645</v>
      </c>
    </row>
    <row r="186" spans="1:19" x14ac:dyDescent="0.25">
      <c r="A186" t="s">
        <v>601</v>
      </c>
      <c r="B186" t="s">
        <v>601</v>
      </c>
      <c r="C186" t="s">
        <v>625</v>
      </c>
      <c r="D186" t="s">
        <v>603</v>
      </c>
      <c r="E186" t="s">
        <v>626</v>
      </c>
      <c r="F186" t="s">
        <v>601</v>
      </c>
      <c r="G186" t="s">
        <v>62</v>
      </c>
      <c r="H186" t="s">
        <v>646</v>
      </c>
      <c r="I186" t="s">
        <v>647</v>
      </c>
      <c r="J186" t="s">
        <v>28</v>
      </c>
      <c r="K186" t="s">
        <v>38</v>
      </c>
      <c r="L186" t="s">
        <v>30</v>
      </c>
      <c r="M186" s="2" t="s">
        <v>30</v>
      </c>
      <c r="O186" t="s">
        <v>648</v>
      </c>
    </row>
    <row r="187" spans="1:19" x14ac:dyDescent="0.25">
      <c r="A187" t="s">
        <v>601</v>
      </c>
      <c r="B187" t="s">
        <v>601</v>
      </c>
      <c r="C187" t="s">
        <v>625</v>
      </c>
      <c r="D187" t="s">
        <v>603</v>
      </c>
      <c r="E187" t="s">
        <v>626</v>
      </c>
      <c r="F187" t="s">
        <v>601</v>
      </c>
      <c r="G187" t="s">
        <v>62</v>
      </c>
      <c r="H187" t="s">
        <v>649</v>
      </c>
      <c r="I187" t="s">
        <v>650</v>
      </c>
      <c r="J187" t="s">
        <v>126</v>
      </c>
      <c r="L187" t="s">
        <v>186</v>
      </c>
      <c r="M187" s="5" t="s">
        <v>187</v>
      </c>
      <c r="N187" t="s">
        <v>3505</v>
      </c>
      <c r="O187" t="s">
        <v>651</v>
      </c>
    </row>
    <row r="188" spans="1:19" x14ac:dyDescent="0.25">
      <c r="A188" t="s">
        <v>601</v>
      </c>
      <c r="B188" t="s">
        <v>601</v>
      </c>
      <c r="C188" t="s">
        <v>652</v>
      </c>
      <c r="D188" t="s">
        <v>603</v>
      </c>
      <c r="E188" t="s">
        <v>653</v>
      </c>
      <c r="F188" t="s">
        <v>601</v>
      </c>
      <c r="G188" t="s">
        <v>62</v>
      </c>
      <c r="H188" t="s">
        <v>654</v>
      </c>
      <c r="I188" t="s">
        <v>655</v>
      </c>
      <c r="J188" t="s">
        <v>28</v>
      </c>
      <c r="L188" t="s">
        <v>30</v>
      </c>
      <c r="M188" s="2" t="s">
        <v>30</v>
      </c>
      <c r="O188" t="s">
        <v>656</v>
      </c>
      <c r="S188" t="s">
        <v>657</v>
      </c>
    </row>
    <row r="189" spans="1:19" x14ac:dyDescent="0.25">
      <c r="A189" t="s">
        <v>601</v>
      </c>
      <c r="B189" t="s">
        <v>601</v>
      </c>
      <c r="C189" t="s">
        <v>652</v>
      </c>
      <c r="D189" t="s">
        <v>603</v>
      </c>
      <c r="E189" t="s">
        <v>653</v>
      </c>
      <c r="F189" t="s">
        <v>601</v>
      </c>
      <c r="G189" t="s">
        <v>62</v>
      </c>
      <c r="H189" t="s">
        <v>658</v>
      </c>
      <c r="I189" t="s">
        <v>659</v>
      </c>
      <c r="J189" t="s">
        <v>28</v>
      </c>
      <c r="L189" t="s">
        <v>30</v>
      </c>
      <c r="M189" s="2" t="s">
        <v>30</v>
      </c>
      <c r="O189" t="s">
        <v>656</v>
      </c>
    </row>
    <row r="190" spans="1:19" x14ac:dyDescent="0.25">
      <c r="A190" t="s">
        <v>601</v>
      </c>
      <c r="B190" t="s">
        <v>601</v>
      </c>
      <c r="C190" t="s">
        <v>652</v>
      </c>
      <c r="D190" t="s">
        <v>603</v>
      </c>
      <c r="E190" t="s">
        <v>653</v>
      </c>
      <c r="F190" t="s">
        <v>601</v>
      </c>
      <c r="G190" t="s">
        <v>62</v>
      </c>
      <c r="H190" t="s">
        <v>660</v>
      </c>
      <c r="I190" t="s">
        <v>661</v>
      </c>
      <c r="J190" t="s">
        <v>28</v>
      </c>
      <c r="L190" t="s">
        <v>30</v>
      </c>
      <c r="M190" s="2" t="s">
        <v>30</v>
      </c>
      <c r="O190" t="s">
        <v>656</v>
      </c>
    </row>
    <row r="191" spans="1:19" x14ac:dyDescent="0.25">
      <c r="A191" t="s">
        <v>601</v>
      </c>
      <c r="B191" t="s">
        <v>601</v>
      </c>
      <c r="C191" t="s">
        <v>662</v>
      </c>
      <c r="D191" t="s">
        <v>603</v>
      </c>
      <c r="E191" t="s">
        <v>663</v>
      </c>
      <c r="F191" t="s">
        <v>601</v>
      </c>
      <c r="G191" t="s">
        <v>115</v>
      </c>
      <c r="H191" t="s">
        <v>664</v>
      </c>
      <c r="I191" t="s">
        <v>665</v>
      </c>
      <c r="J191" t="s">
        <v>28</v>
      </c>
      <c r="K191" t="s">
        <v>622</v>
      </c>
      <c r="L191" t="s">
        <v>30</v>
      </c>
      <c r="M191" s="2" t="s">
        <v>30</v>
      </c>
      <c r="O191" t="s">
        <v>666</v>
      </c>
    </row>
    <row r="192" spans="1:19" x14ac:dyDescent="0.25">
      <c r="A192" t="s">
        <v>601</v>
      </c>
      <c r="B192" t="s">
        <v>601</v>
      </c>
      <c r="C192" t="s">
        <v>662</v>
      </c>
      <c r="D192" t="s">
        <v>603</v>
      </c>
      <c r="E192" t="s">
        <v>663</v>
      </c>
      <c r="F192" t="s">
        <v>601</v>
      </c>
      <c r="G192" t="s">
        <v>115</v>
      </c>
      <c r="H192" t="s">
        <v>667</v>
      </c>
      <c r="I192" t="s">
        <v>668</v>
      </c>
      <c r="J192" t="s">
        <v>28</v>
      </c>
      <c r="K192" t="s">
        <v>124</v>
      </c>
      <c r="L192" t="s">
        <v>30</v>
      </c>
      <c r="M192" s="2" t="s">
        <v>30</v>
      </c>
      <c r="O192" t="s">
        <v>666</v>
      </c>
    </row>
    <row r="193" spans="1:19" x14ac:dyDescent="0.25">
      <c r="A193" t="s">
        <v>601</v>
      </c>
      <c r="B193" t="s">
        <v>601</v>
      </c>
      <c r="C193" t="s">
        <v>662</v>
      </c>
      <c r="D193" t="s">
        <v>603</v>
      </c>
      <c r="E193" t="s">
        <v>663</v>
      </c>
      <c r="F193" t="s">
        <v>601</v>
      </c>
      <c r="G193" t="s">
        <v>115</v>
      </c>
      <c r="H193" t="s">
        <v>669</v>
      </c>
      <c r="I193" t="s">
        <v>670</v>
      </c>
      <c r="J193" t="s">
        <v>28</v>
      </c>
      <c r="K193" t="s">
        <v>622</v>
      </c>
      <c r="L193" t="s">
        <v>30</v>
      </c>
      <c r="M193" s="2" t="s">
        <v>30</v>
      </c>
      <c r="O193" t="s">
        <v>666</v>
      </c>
    </row>
    <row r="194" spans="1:19" x14ac:dyDescent="0.25">
      <c r="A194" t="s">
        <v>601</v>
      </c>
      <c r="B194" t="s">
        <v>601</v>
      </c>
      <c r="C194" t="s">
        <v>662</v>
      </c>
      <c r="D194" t="s">
        <v>603</v>
      </c>
      <c r="E194" t="s">
        <v>663</v>
      </c>
      <c r="F194" t="s">
        <v>601</v>
      </c>
      <c r="G194" t="s">
        <v>115</v>
      </c>
      <c r="H194" t="s">
        <v>671</v>
      </c>
      <c r="I194" t="s">
        <v>672</v>
      </c>
      <c r="J194" t="s">
        <v>28</v>
      </c>
      <c r="K194" t="s">
        <v>622</v>
      </c>
      <c r="L194" t="s">
        <v>30</v>
      </c>
      <c r="M194" s="2" t="s">
        <v>30</v>
      </c>
      <c r="O194" t="s">
        <v>666</v>
      </c>
    </row>
    <row r="195" spans="1:19" x14ac:dyDescent="0.25">
      <c r="A195" t="s">
        <v>601</v>
      </c>
      <c r="B195" t="s">
        <v>601</v>
      </c>
      <c r="C195" t="s">
        <v>673</v>
      </c>
      <c r="D195" t="s">
        <v>603</v>
      </c>
      <c r="E195" t="s">
        <v>674</v>
      </c>
      <c r="F195" t="s">
        <v>675</v>
      </c>
      <c r="G195" t="s">
        <v>605</v>
      </c>
      <c r="H195" t="s">
        <v>676</v>
      </c>
      <c r="I195" t="s">
        <v>677</v>
      </c>
      <c r="J195" t="s">
        <v>28</v>
      </c>
      <c r="K195" t="s">
        <v>632</v>
      </c>
      <c r="L195" t="s">
        <v>623</v>
      </c>
      <c r="M195" s="6" t="s">
        <v>373</v>
      </c>
      <c r="N195" t="s">
        <v>22</v>
      </c>
      <c r="O195" t="s">
        <v>678</v>
      </c>
      <c r="R195" t="s">
        <v>632</v>
      </c>
    </row>
    <row r="196" spans="1:19" x14ac:dyDescent="0.25">
      <c r="A196" t="s">
        <v>601</v>
      </c>
      <c r="B196" t="s">
        <v>601</v>
      </c>
      <c r="C196" t="s">
        <v>679</v>
      </c>
      <c r="D196" t="s">
        <v>603</v>
      </c>
      <c r="E196" t="s">
        <v>680</v>
      </c>
      <c r="F196" t="s">
        <v>675</v>
      </c>
      <c r="G196" t="s">
        <v>681</v>
      </c>
      <c r="H196" t="s">
        <v>682</v>
      </c>
      <c r="I196" t="s">
        <v>683</v>
      </c>
      <c r="J196" t="s">
        <v>28</v>
      </c>
      <c r="K196" t="s">
        <v>632</v>
      </c>
      <c r="L196" t="s">
        <v>30</v>
      </c>
      <c r="M196" s="2" t="s">
        <v>30</v>
      </c>
      <c r="N196" t="s">
        <v>22</v>
      </c>
      <c r="O196" t="s">
        <v>684</v>
      </c>
    </row>
    <row r="197" spans="1:19" x14ac:dyDescent="0.25">
      <c r="A197" t="s">
        <v>601</v>
      </c>
      <c r="B197" t="s">
        <v>601</v>
      </c>
      <c r="C197" t="s">
        <v>679</v>
      </c>
      <c r="D197" t="s">
        <v>603</v>
      </c>
      <c r="E197" t="s">
        <v>680</v>
      </c>
      <c r="F197" t="s">
        <v>675</v>
      </c>
      <c r="G197" t="s">
        <v>681</v>
      </c>
      <c r="H197" t="s">
        <v>685</v>
      </c>
      <c r="I197" t="s">
        <v>686</v>
      </c>
      <c r="J197" t="s">
        <v>28</v>
      </c>
      <c r="K197" t="s">
        <v>687</v>
      </c>
      <c r="L197" t="s">
        <v>30</v>
      </c>
      <c r="M197" s="2" t="s">
        <v>30</v>
      </c>
      <c r="O197" t="s">
        <v>644</v>
      </c>
      <c r="S197" t="s">
        <v>688</v>
      </c>
    </row>
    <row r="198" spans="1:19" x14ac:dyDescent="0.25">
      <c r="A198" t="s">
        <v>601</v>
      </c>
      <c r="B198" t="s">
        <v>601</v>
      </c>
      <c r="C198" t="s">
        <v>689</v>
      </c>
      <c r="D198" t="s">
        <v>603</v>
      </c>
      <c r="E198" t="s">
        <v>690</v>
      </c>
      <c r="F198" t="s">
        <v>691</v>
      </c>
      <c r="G198" t="s">
        <v>692</v>
      </c>
      <c r="H198" t="s">
        <v>693</v>
      </c>
      <c r="I198" t="s">
        <v>694</v>
      </c>
      <c r="J198" t="s">
        <v>28</v>
      </c>
      <c r="K198" t="s">
        <v>632</v>
      </c>
      <c r="L198" t="s">
        <v>30</v>
      </c>
      <c r="M198" s="2" t="s">
        <v>30</v>
      </c>
      <c r="N198" t="s">
        <v>22</v>
      </c>
      <c r="O198" t="s">
        <v>695</v>
      </c>
    </row>
    <row r="199" spans="1:19" x14ac:dyDescent="0.25">
      <c r="A199" t="s">
        <v>601</v>
      </c>
      <c r="B199" t="s">
        <v>601</v>
      </c>
      <c r="C199" t="s">
        <v>689</v>
      </c>
      <c r="D199" t="s">
        <v>603</v>
      </c>
      <c r="E199" t="s">
        <v>690</v>
      </c>
      <c r="F199" t="s">
        <v>691</v>
      </c>
      <c r="G199" t="s">
        <v>692</v>
      </c>
      <c r="H199" t="s">
        <v>696</v>
      </c>
      <c r="I199" t="s">
        <v>697</v>
      </c>
      <c r="J199" t="s">
        <v>28</v>
      </c>
      <c r="K199" t="s">
        <v>38</v>
      </c>
      <c r="L199" t="s">
        <v>30</v>
      </c>
      <c r="M199" s="2" t="s">
        <v>30</v>
      </c>
    </row>
    <row r="200" spans="1:19" x14ac:dyDescent="0.25">
      <c r="A200" t="s">
        <v>601</v>
      </c>
      <c r="B200" t="s">
        <v>601</v>
      </c>
      <c r="C200" t="s">
        <v>689</v>
      </c>
      <c r="D200" t="s">
        <v>603</v>
      </c>
      <c r="E200" t="s">
        <v>690</v>
      </c>
      <c r="F200" t="s">
        <v>691</v>
      </c>
      <c r="G200" t="s">
        <v>692</v>
      </c>
      <c r="H200" t="s">
        <v>698</v>
      </c>
      <c r="I200" t="s">
        <v>699</v>
      </c>
      <c r="J200" t="s">
        <v>28</v>
      </c>
      <c r="K200" t="s">
        <v>38</v>
      </c>
      <c r="L200" t="s">
        <v>30</v>
      </c>
      <c r="M200" s="2" t="s">
        <v>30</v>
      </c>
    </row>
    <row r="201" spans="1:19" x14ac:dyDescent="0.25">
      <c r="A201" t="s">
        <v>601</v>
      </c>
      <c r="B201" t="s">
        <v>601</v>
      </c>
      <c r="C201" t="s">
        <v>689</v>
      </c>
      <c r="D201" t="s">
        <v>603</v>
      </c>
      <c r="E201" t="s">
        <v>690</v>
      </c>
      <c r="F201" t="s">
        <v>691</v>
      </c>
      <c r="G201" t="s">
        <v>692</v>
      </c>
      <c r="H201" t="s">
        <v>700</v>
      </c>
      <c r="I201" t="s">
        <v>701</v>
      </c>
      <c r="J201" t="s">
        <v>28</v>
      </c>
      <c r="K201" t="s">
        <v>38</v>
      </c>
      <c r="L201" t="s">
        <v>181</v>
      </c>
      <c r="M201" s="4" t="s">
        <v>182</v>
      </c>
      <c r="N201" t="s">
        <v>3509</v>
      </c>
      <c r="O201" t="s">
        <v>702</v>
      </c>
    </row>
    <row r="202" spans="1:19" x14ac:dyDescent="0.25">
      <c r="A202" t="s">
        <v>601</v>
      </c>
      <c r="B202" t="s">
        <v>601</v>
      </c>
      <c r="C202" t="s">
        <v>689</v>
      </c>
      <c r="D202" t="s">
        <v>603</v>
      </c>
      <c r="E202" t="s">
        <v>690</v>
      </c>
      <c r="F202" t="s">
        <v>691</v>
      </c>
      <c r="G202" t="s">
        <v>692</v>
      </c>
      <c r="H202" t="s">
        <v>703</v>
      </c>
      <c r="I202" t="s">
        <v>672</v>
      </c>
      <c r="J202" t="s">
        <v>28</v>
      </c>
      <c r="K202" t="s">
        <v>632</v>
      </c>
      <c r="L202" t="s">
        <v>30</v>
      </c>
      <c r="M202" s="2" t="s">
        <v>30</v>
      </c>
      <c r="N202" t="s">
        <v>22</v>
      </c>
      <c r="O202" t="s">
        <v>695</v>
      </c>
    </row>
    <row r="203" spans="1:19" x14ac:dyDescent="0.25">
      <c r="A203" t="s">
        <v>601</v>
      </c>
      <c r="B203" t="s">
        <v>601</v>
      </c>
      <c r="C203" t="s">
        <v>689</v>
      </c>
      <c r="D203" t="s">
        <v>603</v>
      </c>
      <c r="E203" t="s">
        <v>690</v>
      </c>
      <c r="F203" t="s">
        <v>691</v>
      </c>
      <c r="G203" t="s">
        <v>692</v>
      </c>
      <c r="H203" t="s">
        <v>704</v>
      </c>
      <c r="I203" t="s">
        <v>705</v>
      </c>
      <c r="J203" t="s">
        <v>28</v>
      </c>
      <c r="K203" t="s">
        <v>632</v>
      </c>
      <c r="L203" t="s">
        <v>623</v>
      </c>
      <c r="M203" s="6" t="s">
        <v>373</v>
      </c>
      <c r="N203" t="s">
        <v>22</v>
      </c>
      <c r="O203" t="s">
        <v>695</v>
      </c>
    </row>
    <row r="204" spans="1:19" x14ac:dyDescent="0.25">
      <c r="A204" t="s">
        <v>601</v>
      </c>
      <c r="B204" t="s">
        <v>601</v>
      </c>
      <c r="C204" t="s">
        <v>706</v>
      </c>
      <c r="D204" t="s">
        <v>707</v>
      </c>
      <c r="E204" t="s">
        <v>708</v>
      </c>
      <c r="F204" t="s">
        <v>691</v>
      </c>
      <c r="G204" t="s">
        <v>115</v>
      </c>
      <c r="H204" t="s">
        <v>709</v>
      </c>
      <c r="I204" t="s">
        <v>710</v>
      </c>
      <c r="J204" t="s">
        <v>28</v>
      </c>
      <c r="K204" t="s">
        <v>632</v>
      </c>
      <c r="L204" t="s">
        <v>30</v>
      </c>
      <c r="M204" s="2" t="s">
        <v>30</v>
      </c>
    </row>
    <row r="205" spans="1:19" x14ac:dyDescent="0.25">
      <c r="A205" t="s">
        <v>601</v>
      </c>
      <c r="B205" t="s">
        <v>601</v>
      </c>
      <c r="C205" t="s">
        <v>706</v>
      </c>
      <c r="D205" t="s">
        <v>707</v>
      </c>
      <c r="E205" t="s">
        <v>708</v>
      </c>
      <c r="F205" t="s">
        <v>691</v>
      </c>
      <c r="G205" t="s">
        <v>115</v>
      </c>
      <c r="H205" t="s">
        <v>711</v>
      </c>
      <c r="I205" t="s">
        <v>712</v>
      </c>
      <c r="J205" t="s">
        <v>28</v>
      </c>
      <c r="K205" t="s">
        <v>632</v>
      </c>
      <c r="L205" t="s">
        <v>30</v>
      </c>
      <c r="M205" s="2" t="s">
        <v>30</v>
      </c>
    </row>
    <row r="206" spans="1:19" x14ac:dyDescent="0.25">
      <c r="A206" t="s">
        <v>601</v>
      </c>
      <c r="B206" t="s">
        <v>601</v>
      </c>
      <c r="C206" t="s">
        <v>706</v>
      </c>
      <c r="D206" t="s">
        <v>707</v>
      </c>
      <c r="E206" t="s">
        <v>708</v>
      </c>
      <c r="F206" t="s">
        <v>691</v>
      </c>
      <c r="G206" t="s">
        <v>115</v>
      </c>
      <c r="H206" t="s">
        <v>713</v>
      </c>
      <c r="I206" t="s">
        <v>714</v>
      </c>
      <c r="J206" t="s">
        <v>28</v>
      </c>
      <c r="K206" t="s">
        <v>632</v>
      </c>
      <c r="L206" t="s">
        <v>30</v>
      </c>
      <c r="M206" s="2" t="s">
        <v>30</v>
      </c>
    </row>
    <row r="207" spans="1:19" x14ac:dyDescent="0.25">
      <c r="A207" t="s">
        <v>601</v>
      </c>
      <c r="B207" t="s">
        <v>601</v>
      </c>
      <c r="C207" t="s">
        <v>706</v>
      </c>
      <c r="D207" t="s">
        <v>707</v>
      </c>
      <c r="E207" t="s">
        <v>708</v>
      </c>
      <c r="F207" t="s">
        <v>691</v>
      </c>
      <c r="G207" t="s">
        <v>115</v>
      </c>
      <c r="H207" t="s">
        <v>715</v>
      </c>
      <c r="I207" t="s">
        <v>716</v>
      </c>
      <c r="J207" t="s">
        <v>28</v>
      </c>
      <c r="K207" t="s">
        <v>632</v>
      </c>
      <c r="L207" t="s">
        <v>30</v>
      </c>
      <c r="M207" s="2" t="s">
        <v>30</v>
      </c>
    </row>
    <row r="208" spans="1:19" x14ac:dyDescent="0.25">
      <c r="A208" t="s">
        <v>601</v>
      </c>
      <c r="B208" t="s">
        <v>601</v>
      </c>
      <c r="C208" t="s">
        <v>706</v>
      </c>
      <c r="D208" t="s">
        <v>707</v>
      </c>
      <c r="E208" t="s">
        <v>708</v>
      </c>
      <c r="F208" t="s">
        <v>691</v>
      </c>
      <c r="G208" t="s">
        <v>115</v>
      </c>
      <c r="H208" t="s">
        <v>717</v>
      </c>
      <c r="I208" t="s">
        <v>672</v>
      </c>
      <c r="J208" t="s">
        <v>28</v>
      </c>
      <c r="K208" t="s">
        <v>632</v>
      </c>
      <c r="L208" t="s">
        <v>30</v>
      </c>
      <c r="M208" s="2" t="s">
        <v>30</v>
      </c>
    </row>
    <row r="209" spans="1:15" x14ac:dyDescent="0.25">
      <c r="A209" t="s">
        <v>601</v>
      </c>
      <c r="B209" t="s">
        <v>601</v>
      </c>
      <c r="C209" t="s">
        <v>718</v>
      </c>
      <c r="D209" t="s">
        <v>603</v>
      </c>
      <c r="E209" t="s">
        <v>719</v>
      </c>
      <c r="F209" t="s">
        <v>691</v>
      </c>
      <c r="G209" t="s">
        <v>720</v>
      </c>
      <c r="H209" t="s">
        <v>721</v>
      </c>
      <c r="I209" t="s">
        <v>722</v>
      </c>
      <c r="J209" t="s">
        <v>28</v>
      </c>
      <c r="K209" t="s">
        <v>723</v>
      </c>
      <c r="L209" t="s">
        <v>30</v>
      </c>
      <c r="M209" s="2" t="s">
        <v>30</v>
      </c>
      <c r="N209" t="s">
        <v>22</v>
      </c>
      <c r="O209" t="s">
        <v>641</v>
      </c>
    </row>
    <row r="210" spans="1:15" x14ac:dyDescent="0.25">
      <c r="A210" t="s">
        <v>601</v>
      </c>
      <c r="B210" t="s">
        <v>601</v>
      </c>
      <c r="C210" t="s">
        <v>718</v>
      </c>
      <c r="D210" t="s">
        <v>603</v>
      </c>
      <c r="E210" t="s">
        <v>719</v>
      </c>
      <c r="F210" t="s">
        <v>691</v>
      </c>
      <c r="G210" t="s">
        <v>720</v>
      </c>
      <c r="H210" t="s">
        <v>724</v>
      </c>
      <c r="I210" t="s">
        <v>725</v>
      </c>
      <c r="J210" t="s">
        <v>28</v>
      </c>
      <c r="K210" t="s">
        <v>726</v>
      </c>
      <c r="L210" t="s">
        <v>30</v>
      </c>
      <c r="M210" s="2" t="s">
        <v>30</v>
      </c>
    </row>
    <row r="211" spans="1:15" x14ac:dyDescent="0.25">
      <c r="A211" t="s">
        <v>601</v>
      </c>
      <c r="B211" t="s">
        <v>601</v>
      </c>
      <c r="C211" t="s">
        <v>718</v>
      </c>
      <c r="D211" t="s">
        <v>603</v>
      </c>
      <c r="E211" t="s">
        <v>719</v>
      </c>
      <c r="F211" t="s">
        <v>691</v>
      </c>
      <c r="G211" t="s">
        <v>720</v>
      </c>
      <c r="H211" t="s">
        <v>727</v>
      </c>
      <c r="I211" t="s">
        <v>728</v>
      </c>
      <c r="J211" t="s">
        <v>28</v>
      </c>
      <c r="K211" t="s">
        <v>723</v>
      </c>
      <c r="L211" t="s">
        <v>30</v>
      </c>
      <c r="M211" s="2" t="s">
        <v>30</v>
      </c>
      <c r="N211" t="s">
        <v>22</v>
      </c>
      <c r="O211" t="s">
        <v>729</v>
      </c>
    </row>
    <row r="212" spans="1:15" x14ac:dyDescent="0.25">
      <c r="A212" t="s">
        <v>601</v>
      </c>
      <c r="B212" t="s">
        <v>601</v>
      </c>
      <c r="C212" t="s">
        <v>730</v>
      </c>
      <c r="D212" t="s">
        <v>603</v>
      </c>
      <c r="E212" t="s">
        <v>731</v>
      </c>
      <c r="F212" t="s">
        <v>691</v>
      </c>
      <c r="G212" t="s">
        <v>62</v>
      </c>
      <c r="H212" t="s">
        <v>732</v>
      </c>
      <c r="I212" t="s">
        <v>733</v>
      </c>
      <c r="J212" t="s">
        <v>28</v>
      </c>
      <c r="K212" t="s">
        <v>726</v>
      </c>
      <c r="L212" t="s">
        <v>30</v>
      </c>
      <c r="M212" s="2" t="s">
        <v>30</v>
      </c>
      <c r="N212" t="s">
        <v>22</v>
      </c>
      <c r="O212" t="s">
        <v>734</v>
      </c>
    </row>
    <row r="213" spans="1:15" x14ac:dyDescent="0.25">
      <c r="A213" t="s">
        <v>601</v>
      </c>
      <c r="B213" t="s">
        <v>601</v>
      </c>
      <c r="C213" t="s">
        <v>730</v>
      </c>
      <c r="D213" t="s">
        <v>603</v>
      </c>
      <c r="E213" t="s">
        <v>731</v>
      </c>
      <c r="F213" t="s">
        <v>691</v>
      </c>
      <c r="G213" t="s">
        <v>62</v>
      </c>
      <c r="H213" t="s">
        <v>735</v>
      </c>
      <c r="I213" t="s">
        <v>736</v>
      </c>
      <c r="J213" t="s">
        <v>28</v>
      </c>
      <c r="K213" t="s">
        <v>38</v>
      </c>
      <c r="L213" t="s">
        <v>30</v>
      </c>
      <c r="M213" s="2" t="s">
        <v>30</v>
      </c>
      <c r="O213" t="s">
        <v>737</v>
      </c>
    </row>
    <row r="214" spans="1:15" x14ac:dyDescent="0.25">
      <c r="A214" t="s">
        <v>601</v>
      </c>
      <c r="B214" t="s">
        <v>601</v>
      </c>
      <c r="C214" t="s">
        <v>738</v>
      </c>
      <c r="D214" t="s">
        <v>603</v>
      </c>
      <c r="E214" t="s">
        <v>739</v>
      </c>
      <c r="F214" t="s">
        <v>691</v>
      </c>
      <c r="G214" t="s">
        <v>740</v>
      </c>
      <c r="H214" t="s">
        <v>741</v>
      </c>
      <c r="I214" t="s">
        <v>742</v>
      </c>
      <c r="J214" t="s">
        <v>28</v>
      </c>
      <c r="K214" t="s">
        <v>124</v>
      </c>
      <c r="L214" t="s">
        <v>30</v>
      </c>
      <c r="M214" s="2" t="s">
        <v>30</v>
      </c>
    </row>
    <row r="215" spans="1:15" x14ac:dyDescent="0.25">
      <c r="A215" t="s">
        <v>601</v>
      </c>
      <c r="B215" t="s">
        <v>601</v>
      </c>
      <c r="C215" t="s">
        <v>738</v>
      </c>
      <c r="D215" t="s">
        <v>603</v>
      </c>
      <c r="E215" t="s">
        <v>739</v>
      </c>
      <c r="F215" t="s">
        <v>691</v>
      </c>
      <c r="G215" t="s">
        <v>740</v>
      </c>
      <c r="H215" t="s">
        <v>743</v>
      </c>
      <c r="I215" t="s">
        <v>744</v>
      </c>
      <c r="J215" t="s">
        <v>28</v>
      </c>
      <c r="K215" t="s">
        <v>38</v>
      </c>
      <c r="L215" t="s">
        <v>181</v>
      </c>
      <c r="M215" s="4" t="s">
        <v>182</v>
      </c>
      <c r="N215" t="s">
        <v>3510</v>
      </c>
      <c r="O215" t="s">
        <v>745</v>
      </c>
    </row>
    <row r="216" spans="1:15" x14ac:dyDescent="0.25">
      <c r="A216" t="s">
        <v>601</v>
      </c>
      <c r="B216" t="s">
        <v>601</v>
      </c>
      <c r="C216" t="s">
        <v>738</v>
      </c>
      <c r="D216" t="s">
        <v>603</v>
      </c>
      <c r="E216" t="s">
        <v>739</v>
      </c>
      <c r="F216" t="s">
        <v>691</v>
      </c>
      <c r="G216" t="s">
        <v>740</v>
      </c>
      <c r="H216" t="s">
        <v>746</v>
      </c>
      <c r="I216" t="s">
        <v>747</v>
      </c>
      <c r="J216" t="s">
        <v>28</v>
      </c>
      <c r="K216" t="s">
        <v>723</v>
      </c>
      <c r="L216" t="s">
        <v>30</v>
      </c>
      <c r="M216" s="2" t="s">
        <v>30</v>
      </c>
      <c r="O216" t="s">
        <v>748</v>
      </c>
    </row>
    <row r="217" spans="1:15" x14ac:dyDescent="0.25">
      <c r="A217" t="s">
        <v>601</v>
      </c>
      <c r="B217" t="s">
        <v>601</v>
      </c>
      <c r="C217" t="s">
        <v>738</v>
      </c>
      <c r="D217" t="s">
        <v>603</v>
      </c>
      <c r="E217" t="s">
        <v>739</v>
      </c>
      <c r="F217" t="s">
        <v>691</v>
      </c>
      <c r="G217" t="s">
        <v>740</v>
      </c>
      <c r="H217" t="s">
        <v>749</v>
      </c>
      <c r="I217" t="s">
        <v>750</v>
      </c>
      <c r="J217" t="s">
        <v>28</v>
      </c>
      <c r="K217" t="s">
        <v>723</v>
      </c>
      <c r="L217" t="s">
        <v>30</v>
      </c>
      <c r="M217" s="2" t="s">
        <v>30</v>
      </c>
      <c r="O217" t="s">
        <v>613</v>
      </c>
    </row>
    <row r="218" spans="1:15" x14ac:dyDescent="0.25">
      <c r="A218" t="s">
        <v>601</v>
      </c>
      <c r="B218" t="s">
        <v>601</v>
      </c>
      <c r="C218" t="s">
        <v>738</v>
      </c>
      <c r="D218" t="s">
        <v>603</v>
      </c>
      <c r="E218" t="s">
        <v>739</v>
      </c>
      <c r="F218" t="s">
        <v>691</v>
      </c>
      <c r="G218" t="s">
        <v>740</v>
      </c>
      <c r="H218" t="s">
        <v>751</v>
      </c>
      <c r="I218" t="s">
        <v>752</v>
      </c>
      <c r="J218" t="s">
        <v>28</v>
      </c>
      <c r="K218" t="s">
        <v>723</v>
      </c>
      <c r="L218" t="s">
        <v>30</v>
      </c>
      <c r="M218" s="2" t="s">
        <v>30</v>
      </c>
      <c r="O218" t="s">
        <v>753</v>
      </c>
    </row>
    <row r="219" spans="1:15" x14ac:dyDescent="0.25">
      <c r="A219" t="s">
        <v>601</v>
      </c>
      <c r="B219" t="s">
        <v>601</v>
      </c>
      <c r="C219" t="s">
        <v>754</v>
      </c>
      <c r="D219" t="s">
        <v>603</v>
      </c>
      <c r="E219" t="s">
        <v>755</v>
      </c>
      <c r="F219" t="s">
        <v>691</v>
      </c>
      <c r="G219" t="s">
        <v>756</v>
      </c>
      <c r="H219" t="s">
        <v>757</v>
      </c>
      <c r="I219" t="s">
        <v>758</v>
      </c>
      <c r="J219" t="s">
        <v>28</v>
      </c>
      <c r="K219" t="s">
        <v>723</v>
      </c>
      <c r="L219" t="s">
        <v>181</v>
      </c>
      <c r="M219" s="4" t="s">
        <v>182</v>
      </c>
      <c r="N219" t="s">
        <v>757</v>
      </c>
      <c r="O219" t="s">
        <v>183</v>
      </c>
    </row>
    <row r="220" spans="1:15" x14ac:dyDescent="0.25">
      <c r="A220" t="s">
        <v>601</v>
      </c>
      <c r="B220" t="s">
        <v>601</v>
      </c>
      <c r="C220" t="s">
        <v>754</v>
      </c>
      <c r="D220" t="s">
        <v>603</v>
      </c>
      <c r="E220" t="s">
        <v>755</v>
      </c>
      <c r="F220" t="s">
        <v>691</v>
      </c>
      <c r="G220" t="s">
        <v>756</v>
      </c>
      <c r="H220" t="s">
        <v>759</v>
      </c>
      <c r="I220" t="s">
        <v>760</v>
      </c>
      <c r="J220" t="s">
        <v>28</v>
      </c>
      <c r="K220" t="s">
        <v>618</v>
      </c>
      <c r="L220" t="s">
        <v>30</v>
      </c>
      <c r="M220" s="2" t="s">
        <v>30</v>
      </c>
      <c r="O220" t="s">
        <v>761</v>
      </c>
    </row>
    <row r="221" spans="1:15" x14ac:dyDescent="0.25">
      <c r="A221" t="s">
        <v>601</v>
      </c>
      <c r="B221" t="s">
        <v>601</v>
      </c>
      <c r="C221" t="s">
        <v>754</v>
      </c>
      <c r="D221" t="s">
        <v>603</v>
      </c>
      <c r="E221" t="s">
        <v>755</v>
      </c>
      <c r="F221" t="s">
        <v>691</v>
      </c>
      <c r="G221" t="s">
        <v>756</v>
      </c>
      <c r="H221" t="s">
        <v>762</v>
      </c>
      <c r="I221" t="s">
        <v>763</v>
      </c>
      <c r="J221" t="s">
        <v>28</v>
      </c>
      <c r="K221" t="s">
        <v>723</v>
      </c>
      <c r="L221" t="s">
        <v>30</v>
      </c>
      <c r="M221" s="2" t="s">
        <v>30</v>
      </c>
      <c r="N221" t="s">
        <v>22</v>
      </c>
      <c r="O221" t="s">
        <v>764</v>
      </c>
    </row>
    <row r="222" spans="1:15" x14ac:dyDescent="0.25">
      <c r="A222" t="s">
        <v>601</v>
      </c>
      <c r="B222" t="s">
        <v>601</v>
      </c>
      <c r="C222" t="s">
        <v>754</v>
      </c>
      <c r="D222" t="s">
        <v>603</v>
      </c>
      <c r="E222" t="s">
        <v>755</v>
      </c>
      <c r="F222" t="s">
        <v>691</v>
      </c>
      <c r="G222" t="s">
        <v>756</v>
      </c>
      <c r="H222" t="s">
        <v>765</v>
      </c>
      <c r="I222" t="s">
        <v>766</v>
      </c>
      <c r="J222" t="s">
        <v>28</v>
      </c>
      <c r="K222" t="s">
        <v>723</v>
      </c>
      <c r="L222" t="s">
        <v>30</v>
      </c>
      <c r="M222" s="2" t="s">
        <v>30</v>
      </c>
      <c r="N222" t="s">
        <v>22</v>
      </c>
      <c r="O222" t="s">
        <v>767</v>
      </c>
    </row>
    <row r="223" spans="1:15" x14ac:dyDescent="0.25">
      <c r="A223" t="s">
        <v>601</v>
      </c>
      <c r="B223" t="s">
        <v>601</v>
      </c>
      <c r="C223" t="s">
        <v>754</v>
      </c>
      <c r="D223" t="s">
        <v>603</v>
      </c>
      <c r="E223" t="s">
        <v>755</v>
      </c>
      <c r="F223" t="s">
        <v>691</v>
      </c>
      <c r="G223" t="s">
        <v>756</v>
      </c>
      <c r="H223" t="s">
        <v>768</v>
      </c>
      <c r="I223" t="s">
        <v>769</v>
      </c>
      <c r="J223" t="s">
        <v>28</v>
      </c>
      <c r="K223" t="s">
        <v>618</v>
      </c>
      <c r="L223" t="s">
        <v>30</v>
      </c>
      <c r="M223" s="2" t="s">
        <v>30</v>
      </c>
      <c r="N223" t="s">
        <v>22</v>
      </c>
      <c r="O223" t="s">
        <v>770</v>
      </c>
    </row>
    <row r="224" spans="1:15" x14ac:dyDescent="0.25">
      <c r="A224" t="s">
        <v>601</v>
      </c>
      <c r="B224" t="s">
        <v>601</v>
      </c>
      <c r="C224" t="s">
        <v>754</v>
      </c>
      <c r="D224" t="s">
        <v>603</v>
      </c>
      <c r="E224" t="s">
        <v>755</v>
      </c>
      <c r="F224" t="s">
        <v>691</v>
      </c>
      <c r="G224" t="s">
        <v>756</v>
      </c>
      <c r="H224" t="s">
        <v>771</v>
      </c>
      <c r="I224" t="s">
        <v>772</v>
      </c>
      <c r="J224" t="s">
        <v>126</v>
      </c>
      <c r="K224" t="s">
        <v>723</v>
      </c>
      <c r="L224" t="s">
        <v>30</v>
      </c>
      <c r="M224" s="2" t="s">
        <v>30</v>
      </c>
    </row>
    <row r="225" spans="1:15" x14ac:dyDescent="0.25">
      <c r="A225" t="s">
        <v>601</v>
      </c>
      <c r="B225" t="s">
        <v>601</v>
      </c>
      <c r="C225" t="s">
        <v>773</v>
      </c>
      <c r="D225" t="s">
        <v>603</v>
      </c>
      <c r="E225" t="s">
        <v>774</v>
      </c>
      <c r="F225" t="s">
        <v>691</v>
      </c>
      <c r="G225" t="s">
        <v>62</v>
      </c>
      <c r="H225" t="s">
        <v>775</v>
      </c>
      <c r="I225" t="s">
        <v>776</v>
      </c>
      <c r="J225" t="s">
        <v>28</v>
      </c>
      <c r="K225" t="s">
        <v>723</v>
      </c>
      <c r="L225" t="s">
        <v>30</v>
      </c>
      <c r="M225" s="2" t="s">
        <v>30</v>
      </c>
      <c r="O225" t="s">
        <v>777</v>
      </c>
    </row>
    <row r="226" spans="1:15" x14ac:dyDescent="0.25">
      <c r="A226" t="s">
        <v>601</v>
      </c>
      <c r="B226" t="s">
        <v>601</v>
      </c>
      <c r="C226" t="s">
        <v>773</v>
      </c>
      <c r="D226" t="s">
        <v>603</v>
      </c>
      <c r="E226" t="s">
        <v>774</v>
      </c>
      <c r="F226" t="s">
        <v>691</v>
      </c>
      <c r="G226" t="s">
        <v>62</v>
      </c>
      <c r="H226" t="s">
        <v>778</v>
      </c>
      <c r="I226" t="s">
        <v>779</v>
      </c>
      <c r="J226" t="s">
        <v>28</v>
      </c>
      <c r="K226" t="s">
        <v>723</v>
      </c>
      <c r="L226" t="s">
        <v>30</v>
      </c>
      <c r="M226" s="2" t="s">
        <v>30</v>
      </c>
      <c r="O226" t="s">
        <v>777</v>
      </c>
    </row>
    <row r="227" spans="1:15" x14ac:dyDescent="0.25">
      <c r="A227" t="s">
        <v>601</v>
      </c>
      <c r="B227" t="s">
        <v>601</v>
      </c>
      <c r="C227" t="s">
        <v>773</v>
      </c>
      <c r="D227" t="s">
        <v>603</v>
      </c>
      <c r="E227" t="s">
        <v>774</v>
      </c>
      <c r="F227" t="s">
        <v>691</v>
      </c>
      <c r="G227" t="s">
        <v>62</v>
      </c>
      <c r="H227" t="s">
        <v>780</v>
      </c>
      <c r="I227" t="s">
        <v>781</v>
      </c>
      <c r="J227" t="s">
        <v>28</v>
      </c>
      <c r="K227" t="s">
        <v>723</v>
      </c>
      <c r="L227" t="s">
        <v>623</v>
      </c>
      <c r="M227" s="6" t="s">
        <v>373</v>
      </c>
      <c r="O227" t="s">
        <v>777</v>
      </c>
    </row>
    <row r="228" spans="1:15" x14ac:dyDescent="0.25">
      <c r="A228" t="s">
        <v>601</v>
      </c>
      <c r="B228" t="s">
        <v>601</v>
      </c>
      <c r="C228" t="s">
        <v>773</v>
      </c>
      <c r="D228" t="s">
        <v>603</v>
      </c>
      <c r="E228" t="s">
        <v>774</v>
      </c>
      <c r="F228" t="s">
        <v>691</v>
      </c>
      <c r="G228" t="s">
        <v>62</v>
      </c>
      <c r="H228" t="s">
        <v>782</v>
      </c>
      <c r="I228" t="s">
        <v>783</v>
      </c>
      <c r="J228" t="s">
        <v>28</v>
      </c>
      <c r="K228" t="s">
        <v>723</v>
      </c>
      <c r="L228" t="s">
        <v>30</v>
      </c>
      <c r="M228" s="2" t="s">
        <v>30</v>
      </c>
      <c r="O228" t="s">
        <v>777</v>
      </c>
    </row>
    <row r="229" spans="1:15" x14ac:dyDescent="0.25">
      <c r="A229" t="s">
        <v>601</v>
      </c>
      <c r="B229" t="s">
        <v>601</v>
      </c>
      <c r="C229" t="s">
        <v>773</v>
      </c>
      <c r="D229" t="s">
        <v>603</v>
      </c>
      <c r="E229" t="s">
        <v>774</v>
      </c>
      <c r="F229" t="s">
        <v>691</v>
      </c>
      <c r="G229" t="s">
        <v>62</v>
      </c>
      <c r="H229" t="s">
        <v>784</v>
      </c>
      <c r="I229" t="s">
        <v>785</v>
      </c>
      <c r="J229" t="s">
        <v>28</v>
      </c>
      <c r="K229" t="s">
        <v>723</v>
      </c>
      <c r="L229" t="s">
        <v>30</v>
      </c>
      <c r="M229" s="2" t="s">
        <v>30</v>
      </c>
      <c r="O229" t="s">
        <v>777</v>
      </c>
    </row>
    <row r="230" spans="1:15" x14ac:dyDescent="0.25">
      <c r="A230" t="s">
        <v>601</v>
      </c>
      <c r="B230" t="s">
        <v>601</v>
      </c>
      <c r="C230" t="s">
        <v>773</v>
      </c>
      <c r="D230" t="s">
        <v>603</v>
      </c>
      <c r="E230" t="s">
        <v>774</v>
      </c>
      <c r="F230" t="s">
        <v>691</v>
      </c>
      <c r="G230" t="s">
        <v>62</v>
      </c>
      <c r="H230" t="s">
        <v>786</v>
      </c>
      <c r="I230" t="s">
        <v>787</v>
      </c>
      <c r="J230" t="s">
        <v>28</v>
      </c>
      <c r="K230" t="s">
        <v>723</v>
      </c>
      <c r="L230" t="s">
        <v>30</v>
      </c>
      <c r="M230" s="2" t="s">
        <v>30</v>
      </c>
      <c r="O230" t="s">
        <v>777</v>
      </c>
    </row>
    <row r="231" spans="1:15" x14ac:dyDescent="0.25">
      <c r="A231" t="s">
        <v>601</v>
      </c>
      <c r="B231" t="s">
        <v>601</v>
      </c>
      <c r="C231" t="s">
        <v>788</v>
      </c>
      <c r="D231" t="s">
        <v>603</v>
      </c>
      <c r="E231" t="s">
        <v>789</v>
      </c>
      <c r="F231" t="s">
        <v>691</v>
      </c>
      <c r="G231" t="s">
        <v>756</v>
      </c>
      <c r="H231" t="s">
        <v>790</v>
      </c>
      <c r="I231" t="s">
        <v>791</v>
      </c>
      <c r="J231" t="s">
        <v>28</v>
      </c>
      <c r="K231" t="s">
        <v>723</v>
      </c>
      <c r="L231" t="s">
        <v>181</v>
      </c>
      <c r="M231" s="4" t="s">
        <v>182</v>
      </c>
      <c r="N231" t="s">
        <v>790</v>
      </c>
      <c r="O231" t="s">
        <v>792</v>
      </c>
    </row>
    <row r="232" spans="1:15" x14ac:dyDescent="0.25">
      <c r="A232" t="s">
        <v>601</v>
      </c>
      <c r="B232" t="s">
        <v>601</v>
      </c>
      <c r="C232" t="s">
        <v>788</v>
      </c>
      <c r="D232" t="s">
        <v>603</v>
      </c>
      <c r="E232" t="s">
        <v>789</v>
      </c>
      <c r="F232" t="s">
        <v>691</v>
      </c>
      <c r="G232" t="s">
        <v>756</v>
      </c>
      <c r="H232" t="s">
        <v>793</v>
      </c>
      <c r="I232" t="s">
        <v>794</v>
      </c>
      <c r="J232" t="s">
        <v>28</v>
      </c>
      <c r="K232" t="s">
        <v>618</v>
      </c>
      <c r="L232" t="s">
        <v>186</v>
      </c>
      <c r="M232" s="5" t="s">
        <v>187</v>
      </c>
      <c r="N232" t="s">
        <v>3506</v>
      </c>
      <c r="O232" t="s">
        <v>795</v>
      </c>
    </row>
    <row r="233" spans="1:15" x14ac:dyDescent="0.25">
      <c r="A233" t="s">
        <v>601</v>
      </c>
      <c r="B233" t="s">
        <v>601</v>
      </c>
      <c r="C233" t="s">
        <v>788</v>
      </c>
      <c r="D233" t="s">
        <v>603</v>
      </c>
      <c r="E233" t="s">
        <v>789</v>
      </c>
      <c r="F233" t="s">
        <v>691</v>
      </c>
      <c r="G233" t="s">
        <v>756</v>
      </c>
      <c r="H233" t="s">
        <v>796</v>
      </c>
      <c r="I233" t="s">
        <v>672</v>
      </c>
      <c r="J233" t="s">
        <v>28</v>
      </c>
      <c r="K233" t="s">
        <v>723</v>
      </c>
      <c r="L233" t="s">
        <v>30</v>
      </c>
      <c r="M233" s="2" t="s">
        <v>30</v>
      </c>
      <c r="O233" t="s">
        <v>797</v>
      </c>
    </row>
    <row r="234" spans="1:15" x14ac:dyDescent="0.25">
      <c r="A234" t="s">
        <v>601</v>
      </c>
      <c r="B234" t="s">
        <v>601</v>
      </c>
      <c r="C234" t="s">
        <v>788</v>
      </c>
      <c r="D234" t="s">
        <v>603</v>
      </c>
      <c r="E234" t="s">
        <v>789</v>
      </c>
      <c r="F234" t="s">
        <v>691</v>
      </c>
      <c r="G234" t="s">
        <v>756</v>
      </c>
      <c r="H234" t="s">
        <v>798</v>
      </c>
      <c r="I234" t="s">
        <v>799</v>
      </c>
      <c r="J234" t="s">
        <v>28</v>
      </c>
      <c r="K234" t="s">
        <v>723</v>
      </c>
      <c r="L234" t="s">
        <v>30</v>
      </c>
      <c r="M234" s="2" t="s">
        <v>30</v>
      </c>
      <c r="O234" t="s">
        <v>797</v>
      </c>
    </row>
    <row r="235" spans="1:15" x14ac:dyDescent="0.25">
      <c r="A235" t="s">
        <v>601</v>
      </c>
      <c r="B235" t="s">
        <v>601</v>
      </c>
      <c r="C235" t="s">
        <v>800</v>
      </c>
      <c r="D235" t="s">
        <v>603</v>
      </c>
      <c r="E235" t="s">
        <v>801</v>
      </c>
      <c r="F235" t="s">
        <v>691</v>
      </c>
      <c r="G235" t="s">
        <v>692</v>
      </c>
      <c r="H235" t="s">
        <v>802</v>
      </c>
      <c r="I235" t="s">
        <v>803</v>
      </c>
      <c r="J235" t="s">
        <v>28</v>
      </c>
      <c r="K235" t="s">
        <v>723</v>
      </c>
      <c r="L235" t="s">
        <v>30</v>
      </c>
      <c r="M235" s="2" t="s">
        <v>30</v>
      </c>
      <c r="N235" t="s">
        <v>22</v>
      </c>
      <c r="O235" t="s">
        <v>804</v>
      </c>
    </row>
    <row r="236" spans="1:15" x14ac:dyDescent="0.25">
      <c r="A236" t="s">
        <v>601</v>
      </c>
      <c r="B236" t="s">
        <v>601</v>
      </c>
      <c r="C236" t="s">
        <v>805</v>
      </c>
      <c r="D236" t="s">
        <v>603</v>
      </c>
      <c r="E236" t="s">
        <v>806</v>
      </c>
      <c r="F236" t="s">
        <v>691</v>
      </c>
      <c r="G236" t="s">
        <v>756</v>
      </c>
      <c r="H236" t="s">
        <v>807</v>
      </c>
      <c r="I236" t="s">
        <v>808</v>
      </c>
      <c r="J236" t="s">
        <v>28</v>
      </c>
      <c r="K236" t="s">
        <v>723</v>
      </c>
      <c r="L236" t="s">
        <v>181</v>
      </c>
      <c r="M236" s="4" t="s">
        <v>182</v>
      </c>
      <c r="N236" t="s">
        <v>807</v>
      </c>
      <c r="O236" t="s">
        <v>792</v>
      </c>
    </row>
    <row r="237" spans="1:15" x14ac:dyDescent="0.25">
      <c r="A237" t="s">
        <v>601</v>
      </c>
      <c r="B237" t="s">
        <v>601</v>
      </c>
      <c r="C237" t="s">
        <v>805</v>
      </c>
      <c r="D237" t="s">
        <v>603</v>
      </c>
      <c r="E237" t="s">
        <v>806</v>
      </c>
      <c r="F237" t="s">
        <v>691</v>
      </c>
      <c r="G237" t="s">
        <v>756</v>
      </c>
      <c r="H237" t="s">
        <v>809</v>
      </c>
      <c r="I237" t="s">
        <v>810</v>
      </c>
      <c r="J237" t="s">
        <v>28</v>
      </c>
      <c r="K237" t="s">
        <v>723</v>
      </c>
      <c r="L237" t="s">
        <v>30</v>
      </c>
      <c r="M237" s="2" t="s">
        <v>30</v>
      </c>
      <c r="N237" t="s">
        <v>22</v>
      </c>
      <c r="O237" t="s">
        <v>804</v>
      </c>
    </row>
    <row r="238" spans="1:15" x14ac:dyDescent="0.25">
      <c r="A238" t="s">
        <v>601</v>
      </c>
      <c r="B238" t="s">
        <v>601</v>
      </c>
      <c r="C238" t="s">
        <v>805</v>
      </c>
      <c r="D238" t="s">
        <v>603</v>
      </c>
      <c r="E238" t="s">
        <v>806</v>
      </c>
      <c r="F238" t="s">
        <v>691</v>
      </c>
      <c r="G238" t="s">
        <v>756</v>
      </c>
      <c r="H238" t="s">
        <v>811</v>
      </c>
      <c r="I238" t="s">
        <v>812</v>
      </c>
      <c r="J238" t="s">
        <v>28</v>
      </c>
      <c r="K238" t="s">
        <v>515</v>
      </c>
      <c r="L238" t="s">
        <v>30</v>
      </c>
      <c r="M238" s="2" t="s">
        <v>30</v>
      </c>
    </row>
    <row r="239" spans="1:15" x14ac:dyDescent="0.25">
      <c r="A239" t="s">
        <v>601</v>
      </c>
      <c r="B239" t="s">
        <v>601</v>
      </c>
      <c r="C239" t="s">
        <v>805</v>
      </c>
      <c r="D239" t="s">
        <v>603</v>
      </c>
      <c r="E239" t="s">
        <v>806</v>
      </c>
      <c r="F239" t="s">
        <v>691</v>
      </c>
      <c r="G239" t="s">
        <v>756</v>
      </c>
      <c r="H239" t="s">
        <v>813</v>
      </c>
      <c r="I239" t="s">
        <v>814</v>
      </c>
      <c r="J239" t="s">
        <v>28</v>
      </c>
      <c r="K239" t="s">
        <v>515</v>
      </c>
      <c r="L239" t="s">
        <v>30</v>
      </c>
      <c r="M239" s="2" t="s">
        <v>30</v>
      </c>
      <c r="N239" t="s">
        <v>22</v>
      </c>
      <c r="O239" t="s">
        <v>815</v>
      </c>
    </row>
    <row r="240" spans="1:15" x14ac:dyDescent="0.25">
      <c r="A240" t="s">
        <v>601</v>
      </c>
      <c r="B240" t="s">
        <v>601</v>
      </c>
      <c r="C240" t="s">
        <v>805</v>
      </c>
      <c r="D240" t="s">
        <v>603</v>
      </c>
      <c r="E240" t="s">
        <v>806</v>
      </c>
      <c r="F240" t="s">
        <v>691</v>
      </c>
      <c r="G240" t="s">
        <v>756</v>
      </c>
      <c r="H240" t="s">
        <v>816</v>
      </c>
      <c r="I240" t="s">
        <v>817</v>
      </c>
      <c r="J240" t="s">
        <v>28</v>
      </c>
      <c r="K240" t="s">
        <v>818</v>
      </c>
      <c r="L240" t="s">
        <v>30</v>
      </c>
      <c r="M240" s="2" t="s">
        <v>30</v>
      </c>
      <c r="O240" t="s">
        <v>819</v>
      </c>
    </row>
    <row r="241" spans="1:15" x14ac:dyDescent="0.25">
      <c r="A241" t="s">
        <v>601</v>
      </c>
      <c r="B241" t="s">
        <v>601</v>
      </c>
      <c r="C241" t="s">
        <v>820</v>
      </c>
      <c r="D241" t="s">
        <v>603</v>
      </c>
      <c r="E241" t="s">
        <v>821</v>
      </c>
      <c r="F241" t="s">
        <v>691</v>
      </c>
      <c r="G241" t="s">
        <v>756</v>
      </c>
      <c r="H241" t="s">
        <v>822</v>
      </c>
      <c r="I241" t="s">
        <v>823</v>
      </c>
      <c r="J241" t="s">
        <v>28</v>
      </c>
      <c r="K241" t="s">
        <v>726</v>
      </c>
      <c r="L241" t="s">
        <v>30</v>
      </c>
      <c r="M241" s="2" t="s">
        <v>30</v>
      </c>
    </row>
    <row r="242" spans="1:15" x14ac:dyDescent="0.25">
      <c r="A242" t="s">
        <v>601</v>
      </c>
      <c r="B242" t="s">
        <v>601</v>
      </c>
      <c r="C242" t="s">
        <v>820</v>
      </c>
      <c r="D242" t="s">
        <v>603</v>
      </c>
      <c r="E242" t="s">
        <v>821</v>
      </c>
      <c r="F242" t="s">
        <v>691</v>
      </c>
      <c r="G242" t="s">
        <v>756</v>
      </c>
      <c r="H242" t="s">
        <v>824</v>
      </c>
      <c r="I242" t="s">
        <v>825</v>
      </c>
      <c r="J242" t="s">
        <v>28</v>
      </c>
      <c r="K242" t="s">
        <v>726</v>
      </c>
      <c r="L242" t="s">
        <v>30</v>
      </c>
      <c r="M242" s="2" t="s">
        <v>30</v>
      </c>
      <c r="O242" t="s">
        <v>826</v>
      </c>
    </row>
    <row r="243" spans="1:15" x14ac:dyDescent="0.25">
      <c r="A243" t="s">
        <v>601</v>
      </c>
      <c r="B243" t="s">
        <v>601</v>
      </c>
      <c r="C243" t="s">
        <v>820</v>
      </c>
      <c r="D243" t="s">
        <v>603</v>
      </c>
      <c r="E243" t="s">
        <v>821</v>
      </c>
      <c r="F243" t="s">
        <v>691</v>
      </c>
      <c r="G243" t="s">
        <v>756</v>
      </c>
      <c r="H243" t="s">
        <v>827</v>
      </c>
      <c r="I243" t="s">
        <v>828</v>
      </c>
      <c r="J243" t="s">
        <v>28</v>
      </c>
      <c r="K243" t="s">
        <v>726</v>
      </c>
      <c r="L243" t="s">
        <v>30</v>
      </c>
      <c r="M243" s="2" t="s">
        <v>30</v>
      </c>
      <c r="O243" t="s">
        <v>826</v>
      </c>
    </row>
    <row r="244" spans="1:15" x14ac:dyDescent="0.25">
      <c r="A244" t="s">
        <v>601</v>
      </c>
      <c r="B244" t="s">
        <v>601</v>
      </c>
      <c r="C244" t="s">
        <v>829</v>
      </c>
      <c r="D244" t="s">
        <v>830</v>
      </c>
      <c r="E244" t="s">
        <v>691</v>
      </c>
      <c r="F244" t="s">
        <v>691</v>
      </c>
      <c r="G244" t="s">
        <v>62</v>
      </c>
      <c r="H244" t="s">
        <v>831</v>
      </c>
      <c r="I244" t="s">
        <v>832</v>
      </c>
      <c r="J244" t="s">
        <v>28</v>
      </c>
      <c r="K244" t="s">
        <v>726</v>
      </c>
      <c r="L244" t="s">
        <v>623</v>
      </c>
      <c r="M244" s="6" t="s">
        <v>373</v>
      </c>
      <c r="O244" t="s">
        <v>833</v>
      </c>
    </row>
    <row r="245" spans="1:15" x14ac:dyDescent="0.25">
      <c r="A245" t="s">
        <v>601</v>
      </c>
      <c r="B245" t="s">
        <v>601</v>
      </c>
      <c r="C245" t="s">
        <v>829</v>
      </c>
      <c r="D245" t="s">
        <v>830</v>
      </c>
      <c r="E245" t="s">
        <v>691</v>
      </c>
      <c r="F245" t="s">
        <v>691</v>
      </c>
      <c r="G245" t="s">
        <v>62</v>
      </c>
      <c r="H245" t="s">
        <v>834</v>
      </c>
      <c r="I245" t="s">
        <v>835</v>
      </c>
      <c r="J245" t="s">
        <v>28</v>
      </c>
      <c r="K245" t="s">
        <v>726</v>
      </c>
      <c r="L245" t="s">
        <v>623</v>
      </c>
      <c r="M245" s="6" t="s">
        <v>373</v>
      </c>
      <c r="O245" t="s">
        <v>833</v>
      </c>
    </row>
    <row r="246" spans="1:15" x14ac:dyDescent="0.25">
      <c r="A246" t="s">
        <v>601</v>
      </c>
      <c r="B246" t="s">
        <v>601</v>
      </c>
      <c r="C246" t="s">
        <v>829</v>
      </c>
      <c r="D246" t="s">
        <v>830</v>
      </c>
      <c r="E246" t="s">
        <v>691</v>
      </c>
      <c r="F246" t="s">
        <v>691</v>
      </c>
      <c r="G246" t="s">
        <v>62</v>
      </c>
      <c r="H246" t="s">
        <v>836</v>
      </c>
      <c r="I246" t="s">
        <v>837</v>
      </c>
      <c r="J246" t="s">
        <v>28</v>
      </c>
      <c r="K246" t="s">
        <v>726</v>
      </c>
      <c r="L246" t="s">
        <v>30</v>
      </c>
      <c r="M246" s="2" t="s">
        <v>30</v>
      </c>
      <c r="O246" t="s">
        <v>833</v>
      </c>
    </row>
    <row r="247" spans="1:15" x14ac:dyDescent="0.25">
      <c r="A247" t="s">
        <v>601</v>
      </c>
      <c r="B247" t="s">
        <v>601</v>
      </c>
      <c r="C247" t="s">
        <v>838</v>
      </c>
      <c r="D247" t="s">
        <v>603</v>
      </c>
      <c r="E247" t="s">
        <v>839</v>
      </c>
      <c r="F247" t="s">
        <v>840</v>
      </c>
      <c r="G247" t="s">
        <v>756</v>
      </c>
      <c r="H247" t="s">
        <v>841</v>
      </c>
      <c r="I247" t="s">
        <v>842</v>
      </c>
      <c r="J247" t="s">
        <v>28</v>
      </c>
      <c r="K247" t="s">
        <v>618</v>
      </c>
      <c r="L247" t="s">
        <v>30</v>
      </c>
      <c r="M247" s="2" t="s">
        <v>30</v>
      </c>
      <c r="N247" t="s">
        <v>22</v>
      </c>
      <c r="O247" t="s">
        <v>843</v>
      </c>
    </row>
    <row r="248" spans="1:15" x14ac:dyDescent="0.25">
      <c r="A248" t="s">
        <v>601</v>
      </c>
      <c r="B248" t="s">
        <v>601</v>
      </c>
      <c r="C248" t="s">
        <v>838</v>
      </c>
      <c r="D248" t="s">
        <v>603</v>
      </c>
      <c r="E248" t="s">
        <v>839</v>
      </c>
      <c r="F248" t="s">
        <v>840</v>
      </c>
      <c r="G248" t="s">
        <v>756</v>
      </c>
      <c r="H248" t="s">
        <v>844</v>
      </c>
      <c r="I248" t="s">
        <v>845</v>
      </c>
      <c r="J248" t="s">
        <v>28</v>
      </c>
      <c r="K248" t="s">
        <v>818</v>
      </c>
      <c r="L248" t="s">
        <v>30</v>
      </c>
      <c r="M248" s="2" t="s">
        <v>30</v>
      </c>
      <c r="N248" t="s">
        <v>22</v>
      </c>
      <c r="O248" t="s">
        <v>846</v>
      </c>
    </row>
    <row r="249" spans="1:15" x14ac:dyDescent="0.25">
      <c r="A249" t="s">
        <v>601</v>
      </c>
      <c r="B249" t="s">
        <v>601</v>
      </c>
      <c r="C249" t="s">
        <v>838</v>
      </c>
      <c r="D249" t="s">
        <v>603</v>
      </c>
      <c r="E249" t="s">
        <v>839</v>
      </c>
      <c r="F249" t="s">
        <v>840</v>
      </c>
      <c r="G249" t="s">
        <v>756</v>
      </c>
      <c r="H249" t="s">
        <v>847</v>
      </c>
      <c r="I249" t="s">
        <v>848</v>
      </c>
      <c r="J249" t="s">
        <v>28</v>
      </c>
      <c r="K249" t="s">
        <v>618</v>
      </c>
      <c r="L249" t="s">
        <v>30</v>
      </c>
      <c r="M249" s="2" t="s">
        <v>30</v>
      </c>
      <c r="N249" t="s">
        <v>22</v>
      </c>
      <c r="O249" t="s">
        <v>849</v>
      </c>
    </row>
    <row r="250" spans="1:15" x14ac:dyDescent="0.25">
      <c r="A250" t="s">
        <v>601</v>
      </c>
      <c r="B250" t="s">
        <v>601</v>
      </c>
      <c r="C250" t="s">
        <v>838</v>
      </c>
      <c r="D250" t="s">
        <v>603</v>
      </c>
      <c r="E250" t="s">
        <v>839</v>
      </c>
      <c r="F250" t="s">
        <v>840</v>
      </c>
      <c r="G250" t="s">
        <v>756</v>
      </c>
      <c r="H250" t="s">
        <v>850</v>
      </c>
      <c r="I250" t="s">
        <v>851</v>
      </c>
      <c r="J250" t="s">
        <v>28</v>
      </c>
      <c r="K250" t="s">
        <v>618</v>
      </c>
      <c r="L250" t="s">
        <v>30</v>
      </c>
      <c r="M250" s="2" t="s">
        <v>30</v>
      </c>
      <c r="N250" t="s">
        <v>22</v>
      </c>
      <c r="O250" t="s">
        <v>852</v>
      </c>
    </row>
    <row r="251" spans="1:15" x14ac:dyDescent="0.25">
      <c r="A251" t="s">
        <v>601</v>
      </c>
      <c r="B251" t="s">
        <v>601</v>
      </c>
      <c r="C251" t="s">
        <v>838</v>
      </c>
      <c r="D251" t="s">
        <v>603</v>
      </c>
      <c r="E251" t="s">
        <v>839</v>
      </c>
      <c r="F251" t="s">
        <v>840</v>
      </c>
      <c r="G251" t="s">
        <v>756</v>
      </c>
      <c r="H251" t="s">
        <v>853</v>
      </c>
      <c r="I251" t="s">
        <v>854</v>
      </c>
      <c r="J251" t="s">
        <v>28</v>
      </c>
      <c r="K251" t="s">
        <v>618</v>
      </c>
      <c r="L251" t="s">
        <v>30</v>
      </c>
      <c r="M251" s="2" t="s">
        <v>30</v>
      </c>
      <c r="N251" t="s">
        <v>22</v>
      </c>
      <c r="O251" t="s">
        <v>852</v>
      </c>
    </row>
    <row r="252" spans="1:15" x14ac:dyDescent="0.25">
      <c r="A252" t="s">
        <v>601</v>
      </c>
      <c r="B252" t="s">
        <v>601</v>
      </c>
      <c r="C252" t="s">
        <v>855</v>
      </c>
      <c r="D252" t="s">
        <v>603</v>
      </c>
      <c r="E252" t="s">
        <v>856</v>
      </c>
      <c r="F252" t="s">
        <v>840</v>
      </c>
      <c r="G252" t="s">
        <v>756</v>
      </c>
      <c r="H252" t="s">
        <v>857</v>
      </c>
      <c r="I252" t="s">
        <v>858</v>
      </c>
      <c r="J252" t="s">
        <v>28</v>
      </c>
      <c r="K252" t="s">
        <v>618</v>
      </c>
      <c r="L252" t="s">
        <v>30</v>
      </c>
      <c r="M252" s="2" t="s">
        <v>30</v>
      </c>
      <c r="N252" t="s">
        <v>22</v>
      </c>
      <c r="O252" t="s">
        <v>859</v>
      </c>
    </row>
    <row r="253" spans="1:15" x14ac:dyDescent="0.25">
      <c r="A253" t="s">
        <v>601</v>
      </c>
      <c r="B253" t="s">
        <v>601</v>
      </c>
      <c r="C253" t="s">
        <v>855</v>
      </c>
      <c r="D253" t="s">
        <v>603</v>
      </c>
      <c r="E253" t="s">
        <v>856</v>
      </c>
      <c r="F253" t="s">
        <v>840</v>
      </c>
      <c r="G253" t="s">
        <v>756</v>
      </c>
      <c r="H253" t="s">
        <v>860</v>
      </c>
      <c r="I253" t="s">
        <v>861</v>
      </c>
      <c r="J253" t="s">
        <v>28</v>
      </c>
      <c r="K253" t="s">
        <v>618</v>
      </c>
      <c r="L253" t="s">
        <v>30</v>
      </c>
      <c r="M253" s="2" t="s">
        <v>30</v>
      </c>
      <c r="N253" t="s">
        <v>22</v>
      </c>
      <c r="O253" t="s">
        <v>862</v>
      </c>
    </row>
    <row r="254" spans="1:15" x14ac:dyDescent="0.25">
      <c r="A254" t="s">
        <v>601</v>
      </c>
      <c r="B254" t="s">
        <v>601</v>
      </c>
      <c r="C254" t="s">
        <v>863</v>
      </c>
      <c r="D254" t="s">
        <v>603</v>
      </c>
      <c r="E254" t="s">
        <v>864</v>
      </c>
      <c r="F254" t="s">
        <v>840</v>
      </c>
      <c r="G254" t="s">
        <v>605</v>
      </c>
      <c r="H254" t="s">
        <v>865</v>
      </c>
      <c r="I254" t="s">
        <v>866</v>
      </c>
      <c r="J254" t="s">
        <v>28</v>
      </c>
      <c r="K254" t="s">
        <v>515</v>
      </c>
      <c r="L254" t="s">
        <v>30</v>
      </c>
      <c r="M254" s="2" t="s">
        <v>30</v>
      </c>
      <c r="O254" t="s">
        <v>867</v>
      </c>
    </row>
    <row r="255" spans="1:15" x14ac:dyDescent="0.25">
      <c r="A255" t="s">
        <v>601</v>
      </c>
      <c r="B255" t="s">
        <v>601</v>
      </c>
      <c r="C255" t="s">
        <v>863</v>
      </c>
      <c r="D255" t="s">
        <v>603</v>
      </c>
      <c r="E255" t="s">
        <v>864</v>
      </c>
      <c r="F255" t="s">
        <v>840</v>
      </c>
      <c r="G255" t="s">
        <v>605</v>
      </c>
      <c r="H255" t="s">
        <v>868</v>
      </c>
      <c r="I255" t="s">
        <v>869</v>
      </c>
      <c r="J255" t="s">
        <v>28</v>
      </c>
      <c r="K255" t="s">
        <v>515</v>
      </c>
      <c r="L255" t="s">
        <v>30</v>
      </c>
      <c r="M255" s="2" t="s">
        <v>30</v>
      </c>
      <c r="O255" t="s">
        <v>867</v>
      </c>
    </row>
    <row r="256" spans="1:15" x14ac:dyDescent="0.25">
      <c r="A256" t="s">
        <v>601</v>
      </c>
      <c r="B256" t="s">
        <v>601</v>
      </c>
      <c r="C256" t="s">
        <v>863</v>
      </c>
      <c r="D256" t="s">
        <v>603</v>
      </c>
      <c r="E256" t="s">
        <v>864</v>
      </c>
      <c r="F256" t="s">
        <v>840</v>
      </c>
      <c r="G256" t="s">
        <v>605</v>
      </c>
      <c r="H256" t="s">
        <v>870</v>
      </c>
      <c r="I256" t="s">
        <v>871</v>
      </c>
      <c r="J256" t="s">
        <v>28</v>
      </c>
      <c r="K256" t="s">
        <v>515</v>
      </c>
      <c r="L256" t="s">
        <v>30</v>
      </c>
      <c r="M256" s="2" t="s">
        <v>30</v>
      </c>
      <c r="O256" t="s">
        <v>867</v>
      </c>
    </row>
    <row r="257" spans="1:15" x14ac:dyDescent="0.25">
      <c r="A257" t="s">
        <v>601</v>
      </c>
      <c r="B257" t="s">
        <v>601</v>
      </c>
      <c r="C257" t="s">
        <v>863</v>
      </c>
      <c r="D257" t="s">
        <v>603</v>
      </c>
      <c r="E257" t="s">
        <v>864</v>
      </c>
      <c r="F257" t="s">
        <v>840</v>
      </c>
      <c r="G257" t="s">
        <v>605</v>
      </c>
      <c r="H257" t="s">
        <v>872</v>
      </c>
      <c r="I257" t="s">
        <v>873</v>
      </c>
      <c r="J257" t="s">
        <v>28</v>
      </c>
      <c r="K257" t="s">
        <v>515</v>
      </c>
      <c r="L257" t="s">
        <v>30</v>
      </c>
      <c r="M257" s="2" t="s">
        <v>30</v>
      </c>
      <c r="O257" t="s">
        <v>867</v>
      </c>
    </row>
    <row r="258" spans="1:15" x14ac:dyDescent="0.25">
      <c r="A258" t="s">
        <v>601</v>
      </c>
      <c r="B258" t="s">
        <v>601</v>
      </c>
      <c r="C258" t="s">
        <v>874</v>
      </c>
      <c r="D258" t="s">
        <v>603</v>
      </c>
      <c r="E258" t="s">
        <v>875</v>
      </c>
      <c r="F258" t="s">
        <v>876</v>
      </c>
      <c r="G258" t="s">
        <v>692</v>
      </c>
      <c r="H258" t="s">
        <v>877</v>
      </c>
      <c r="I258" t="s">
        <v>878</v>
      </c>
      <c r="J258" t="s">
        <v>28</v>
      </c>
      <c r="K258" t="s">
        <v>818</v>
      </c>
      <c r="L258" t="s">
        <v>623</v>
      </c>
      <c r="M258" s="6" t="s">
        <v>373</v>
      </c>
      <c r="O258" t="s">
        <v>879</v>
      </c>
    </row>
    <row r="259" spans="1:15" x14ac:dyDescent="0.25">
      <c r="A259" t="s">
        <v>601</v>
      </c>
      <c r="B259" t="s">
        <v>601</v>
      </c>
      <c r="C259" t="s">
        <v>874</v>
      </c>
      <c r="D259" t="s">
        <v>603</v>
      </c>
      <c r="E259" t="s">
        <v>875</v>
      </c>
      <c r="F259" t="s">
        <v>876</v>
      </c>
      <c r="G259" t="s">
        <v>692</v>
      </c>
      <c r="H259" t="s">
        <v>880</v>
      </c>
      <c r="I259" t="s">
        <v>881</v>
      </c>
      <c r="J259" t="s">
        <v>28</v>
      </c>
      <c r="K259" t="s">
        <v>818</v>
      </c>
      <c r="L259" t="s">
        <v>30</v>
      </c>
      <c r="M259" s="2" t="s">
        <v>30</v>
      </c>
      <c r="O259" t="s">
        <v>882</v>
      </c>
    </row>
    <row r="260" spans="1:15" x14ac:dyDescent="0.25">
      <c r="A260" t="s">
        <v>601</v>
      </c>
      <c r="B260" t="s">
        <v>601</v>
      </c>
      <c r="C260" t="s">
        <v>883</v>
      </c>
      <c r="D260" t="s">
        <v>603</v>
      </c>
      <c r="E260" t="s">
        <v>884</v>
      </c>
      <c r="F260" t="s">
        <v>876</v>
      </c>
      <c r="G260" t="s">
        <v>692</v>
      </c>
      <c r="H260" t="s">
        <v>885</v>
      </c>
      <c r="I260" t="s">
        <v>886</v>
      </c>
      <c r="J260" t="s">
        <v>28</v>
      </c>
      <c r="K260" t="s">
        <v>726</v>
      </c>
      <c r="L260" t="s">
        <v>30</v>
      </c>
      <c r="M260" s="2" t="s">
        <v>30</v>
      </c>
      <c r="N260" t="s">
        <v>22</v>
      </c>
      <c r="O260" t="s">
        <v>887</v>
      </c>
    </row>
    <row r="261" spans="1:15" x14ac:dyDescent="0.25">
      <c r="A261" t="s">
        <v>601</v>
      </c>
      <c r="B261" t="s">
        <v>601</v>
      </c>
      <c r="C261" t="s">
        <v>883</v>
      </c>
      <c r="D261" t="s">
        <v>603</v>
      </c>
      <c r="E261" t="s">
        <v>884</v>
      </c>
      <c r="F261" t="s">
        <v>876</v>
      </c>
      <c r="G261" t="s">
        <v>692</v>
      </c>
      <c r="H261" t="s">
        <v>888</v>
      </c>
      <c r="I261" t="s">
        <v>889</v>
      </c>
      <c r="J261" t="s">
        <v>28</v>
      </c>
      <c r="K261" t="s">
        <v>726</v>
      </c>
      <c r="L261" t="s">
        <v>30</v>
      </c>
      <c r="M261" s="2" t="s">
        <v>30</v>
      </c>
      <c r="N261" t="s">
        <v>22</v>
      </c>
      <c r="O261" t="s">
        <v>887</v>
      </c>
    </row>
    <row r="262" spans="1:15" x14ac:dyDescent="0.25">
      <c r="A262" t="s">
        <v>601</v>
      </c>
      <c r="B262" t="s">
        <v>601</v>
      </c>
      <c r="C262" t="s">
        <v>883</v>
      </c>
      <c r="D262" t="s">
        <v>603</v>
      </c>
      <c r="E262" t="s">
        <v>884</v>
      </c>
      <c r="F262" t="s">
        <v>876</v>
      </c>
      <c r="G262" t="s">
        <v>692</v>
      </c>
      <c r="H262" t="s">
        <v>890</v>
      </c>
      <c r="I262" t="s">
        <v>891</v>
      </c>
      <c r="J262" t="s">
        <v>28</v>
      </c>
      <c r="K262" t="s">
        <v>726</v>
      </c>
      <c r="L262" t="s">
        <v>30</v>
      </c>
      <c r="M262" s="2" t="s">
        <v>30</v>
      </c>
      <c r="N262" t="s">
        <v>22</v>
      </c>
      <c r="O262" t="s">
        <v>887</v>
      </c>
    </row>
    <row r="263" spans="1:15" x14ac:dyDescent="0.25">
      <c r="A263" t="s">
        <v>601</v>
      </c>
      <c r="B263" t="s">
        <v>601</v>
      </c>
      <c r="C263" t="s">
        <v>883</v>
      </c>
      <c r="D263" t="s">
        <v>603</v>
      </c>
      <c r="E263" t="s">
        <v>884</v>
      </c>
      <c r="F263" t="s">
        <v>876</v>
      </c>
      <c r="G263" t="s">
        <v>692</v>
      </c>
      <c r="H263" t="s">
        <v>892</v>
      </c>
      <c r="I263" t="s">
        <v>893</v>
      </c>
      <c r="J263" t="s">
        <v>28</v>
      </c>
      <c r="K263" t="s">
        <v>726</v>
      </c>
      <c r="L263" t="s">
        <v>623</v>
      </c>
      <c r="M263" s="6" t="s">
        <v>373</v>
      </c>
      <c r="N263" t="s">
        <v>22</v>
      </c>
      <c r="O263" t="s">
        <v>887</v>
      </c>
    </row>
    <row r="264" spans="1:15" x14ac:dyDescent="0.25">
      <c r="A264" t="s">
        <v>601</v>
      </c>
      <c r="B264" t="s">
        <v>601</v>
      </c>
      <c r="C264" t="s">
        <v>883</v>
      </c>
      <c r="D264" t="s">
        <v>603</v>
      </c>
      <c r="E264" t="s">
        <v>884</v>
      </c>
      <c r="F264" t="s">
        <v>876</v>
      </c>
      <c r="G264" t="s">
        <v>692</v>
      </c>
      <c r="H264" t="s">
        <v>894</v>
      </c>
      <c r="I264" t="s">
        <v>895</v>
      </c>
      <c r="J264" t="s">
        <v>28</v>
      </c>
      <c r="K264" t="s">
        <v>726</v>
      </c>
      <c r="L264" t="s">
        <v>623</v>
      </c>
      <c r="M264" s="6" t="s">
        <v>373</v>
      </c>
      <c r="N264" t="s">
        <v>22</v>
      </c>
      <c r="O264" t="s">
        <v>887</v>
      </c>
    </row>
    <row r="265" spans="1:15" x14ac:dyDescent="0.25">
      <c r="A265" t="s">
        <v>601</v>
      </c>
      <c r="B265" t="s">
        <v>601</v>
      </c>
      <c r="C265" t="s">
        <v>896</v>
      </c>
      <c r="D265" t="s">
        <v>707</v>
      </c>
      <c r="E265" t="s">
        <v>897</v>
      </c>
      <c r="F265" t="s">
        <v>876</v>
      </c>
      <c r="G265" t="s">
        <v>115</v>
      </c>
      <c r="H265" t="s">
        <v>898</v>
      </c>
      <c r="I265" t="s">
        <v>899</v>
      </c>
      <c r="J265" t="s">
        <v>28</v>
      </c>
      <c r="L265" t="s">
        <v>30</v>
      </c>
      <c r="M265" s="2" t="s">
        <v>30</v>
      </c>
    </row>
    <row r="266" spans="1:15" x14ac:dyDescent="0.25">
      <c r="A266" t="s">
        <v>601</v>
      </c>
      <c r="B266" t="s">
        <v>601</v>
      </c>
      <c r="C266" t="s">
        <v>896</v>
      </c>
      <c r="D266" t="s">
        <v>707</v>
      </c>
      <c r="E266" t="s">
        <v>897</v>
      </c>
      <c r="F266" t="s">
        <v>876</v>
      </c>
      <c r="G266" t="s">
        <v>115</v>
      </c>
      <c r="H266" t="s">
        <v>901</v>
      </c>
      <c r="I266" t="s">
        <v>902</v>
      </c>
      <c r="J266" t="s">
        <v>28</v>
      </c>
      <c r="L266" t="s">
        <v>30</v>
      </c>
      <c r="M266" s="2" t="s">
        <v>30</v>
      </c>
    </row>
    <row r="267" spans="1:15" x14ac:dyDescent="0.25">
      <c r="A267" t="s">
        <v>601</v>
      </c>
      <c r="B267" t="s">
        <v>601</v>
      </c>
      <c r="C267" t="s">
        <v>896</v>
      </c>
      <c r="D267" t="s">
        <v>707</v>
      </c>
      <c r="E267" t="s">
        <v>897</v>
      </c>
      <c r="F267" t="s">
        <v>876</v>
      </c>
      <c r="G267" t="s">
        <v>115</v>
      </c>
      <c r="H267" t="s">
        <v>903</v>
      </c>
      <c r="I267" t="s">
        <v>904</v>
      </c>
      <c r="J267" t="s">
        <v>28</v>
      </c>
      <c r="L267" t="s">
        <v>30</v>
      </c>
      <c r="M267" s="2" t="s">
        <v>30</v>
      </c>
    </row>
    <row r="268" spans="1:15" x14ac:dyDescent="0.25">
      <c r="A268" t="s">
        <v>601</v>
      </c>
      <c r="B268" t="s">
        <v>601</v>
      </c>
      <c r="C268" t="s">
        <v>896</v>
      </c>
      <c r="D268" t="s">
        <v>707</v>
      </c>
      <c r="E268" t="s">
        <v>897</v>
      </c>
      <c r="F268" t="s">
        <v>876</v>
      </c>
      <c r="G268" t="s">
        <v>115</v>
      </c>
      <c r="H268" t="s">
        <v>905</v>
      </c>
      <c r="I268" t="s">
        <v>906</v>
      </c>
      <c r="J268" t="s">
        <v>28</v>
      </c>
      <c r="L268" t="s">
        <v>30</v>
      </c>
      <c r="M268" s="2" t="s">
        <v>30</v>
      </c>
    </row>
    <row r="269" spans="1:15" x14ac:dyDescent="0.25">
      <c r="A269" t="s">
        <v>601</v>
      </c>
      <c r="B269" t="s">
        <v>601</v>
      </c>
      <c r="C269" t="s">
        <v>896</v>
      </c>
      <c r="D269" t="s">
        <v>707</v>
      </c>
      <c r="E269" t="s">
        <v>897</v>
      </c>
      <c r="F269" t="s">
        <v>876</v>
      </c>
      <c r="G269" t="s">
        <v>115</v>
      </c>
      <c r="H269" t="s">
        <v>907</v>
      </c>
      <c r="I269" t="s">
        <v>908</v>
      </c>
      <c r="J269" t="s">
        <v>28</v>
      </c>
      <c r="L269" t="s">
        <v>30</v>
      </c>
      <c r="M269" s="2" t="s">
        <v>30</v>
      </c>
    </row>
    <row r="270" spans="1:15" x14ac:dyDescent="0.25">
      <c r="A270" t="s">
        <v>601</v>
      </c>
      <c r="B270" t="s">
        <v>601</v>
      </c>
      <c r="C270" t="s">
        <v>896</v>
      </c>
      <c r="D270" t="s">
        <v>707</v>
      </c>
      <c r="E270" t="s">
        <v>897</v>
      </c>
      <c r="F270" t="s">
        <v>876</v>
      </c>
      <c r="G270" t="s">
        <v>115</v>
      </c>
      <c r="H270" t="s">
        <v>909</v>
      </c>
      <c r="I270" t="s">
        <v>910</v>
      </c>
      <c r="J270" t="s">
        <v>28</v>
      </c>
      <c r="L270" t="s">
        <v>30</v>
      </c>
      <c r="M270" s="2" t="s">
        <v>30</v>
      </c>
    </row>
    <row r="271" spans="1:15" x14ac:dyDescent="0.25">
      <c r="A271" t="s">
        <v>601</v>
      </c>
      <c r="B271" t="s">
        <v>601</v>
      </c>
      <c r="C271" t="s">
        <v>896</v>
      </c>
      <c r="D271" t="s">
        <v>707</v>
      </c>
      <c r="E271" t="s">
        <v>897</v>
      </c>
      <c r="F271" t="s">
        <v>876</v>
      </c>
      <c r="G271" t="s">
        <v>115</v>
      </c>
      <c r="H271" t="s">
        <v>911</v>
      </c>
      <c r="I271" t="s">
        <v>912</v>
      </c>
      <c r="J271" t="s">
        <v>28</v>
      </c>
      <c r="L271" t="s">
        <v>30</v>
      </c>
      <c r="M271" s="2" t="s">
        <v>30</v>
      </c>
    </row>
    <row r="272" spans="1:15" x14ac:dyDescent="0.25">
      <c r="A272" t="s">
        <v>601</v>
      </c>
      <c r="B272" t="s">
        <v>601</v>
      </c>
      <c r="C272" t="s">
        <v>913</v>
      </c>
      <c r="D272" t="s">
        <v>603</v>
      </c>
      <c r="E272" t="s">
        <v>914</v>
      </c>
      <c r="F272" t="s">
        <v>876</v>
      </c>
      <c r="G272" t="s">
        <v>692</v>
      </c>
      <c r="H272" t="s">
        <v>915</v>
      </c>
      <c r="I272" t="s">
        <v>916</v>
      </c>
      <c r="J272" t="s">
        <v>28</v>
      </c>
      <c r="K272" t="s">
        <v>726</v>
      </c>
      <c r="L272" t="s">
        <v>623</v>
      </c>
      <c r="M272" s="6" t="s">
        <v>373</v>
      </c>
      <c r="N272" t="s">
        <v>22</v>
      </c>
      <c r="O272" t="s">
        <v>917</v>
      </c>
    </row>
    <row r="273" spans="1:15" x14ac:dyDescent="0.25">
      <c r="A273" t="s">
        <v>601</v>
      </c>
      <c r="B273" t="s">
        <v>601</v>
      </c>
      <c r="C273" t="s">
        <v>913</v>
      </c>
      <c r="D273" t="s">
        <v>603</v>
      </c>
      <c r="E273" t="s">
        <v>914</v>
      </c>
      <c r="F273" t="s">
        <v>876</v>
      </c>
      <c r="G273" t="s">
        <v>692</v>
      </c>
      <c r="H273" t="s">
        <v>918</v>
      </c>
      <c r="I273" t="s">
        <v>919</v>
      </c>
      <c r="J273" t="s">
        <v>28</v>
      </c>
      <c r="K273" t="s">
        <v>726</v>
      </c>
      <c r="L273" t="s">
        <v>30</v>
      </c>
      <c r="M273" s="2" t="s">
        <v>30</v>
      </c>
      <c r="N273" t="s">
        <v>22</v>
      </c>
      <c r="O273" t="s">
        <v>917</v>
      </c>
    </row>
    <row r="274" spans="1:15" x14ac:dyDescent="0.25">
      <c r="A274" t="s">
        <v>601</v>
      </c>
      <c r="B274" t="s">
        <v>601</v>
      </c>
      <c r="C274" t="s">
        <v>920</v>
      </c>
      <c r="D274" t="s">
        <v>830</v>
      </c>
      <c r="E274" t="s">
        <v>921</v>
      </c>
      <c r="F274" t="s">
        <v>876</v>
      </c>
      <c r="G274" t="s">
        <v>115</v>
      </c>
      <c r="H274" t="s">
        <v>922</v>
      </c>
      <c r="I274" t="s">
        <v>923</v>
      </c>
      <c r="J274" t="s">
        <v>28</v>
      </c>
      <c r="K274" t="s">
        <v>726</v>
      </c>
      <c r="L274" t="s">
        <v>30</v>
      </c>
      <c r="M274" s="2" t="s">
        <v>30</v>
      </c>
      <c r="N274" t="s">
        <v>22</v>
      </c>
      <c r="O274" t="s">
        <v>924</v>
      </c>
    </row>
    <row r="275" spans="1:15" x14ac:dyDescent="0.25">
      <c r="A275" t="s">
        <v>601</v>
      </c>
      <c r="B275" t="s">
        <v>601</v>
      </c>
      <c r="C275" t="s">
        <v>920</v>
      </c>
      <c r="D275" t="s">
        <v>830</v>
      </c>
      <c r="E275" t="s">
        <v>921</v>
      </c>
      <c r="F275" t="s">
        <v>876</v>
      </c>
      <c r="G275" t="s">
        <v>115</v>
      </c>
      <c r="H275" t="s">
        <v>925</v>
      </c>
      <c r="I275" t="s">
        <v>926</v>
      </c>
      <c r="J275" t="s">
        <v>28</v>
      </c>
      <c r="K275" t="s">
        <v>726</v>
      </c>
      <c r="L275" t="s">
        <v>30</v>
      </c>
      <c r="M275" s="2" t="s">
        <v>30</v>
      </c>
      <c r="N275" t="s">
        <v>22</v>
      </c>
      <c r="O275" t="s">
        <v>924</v>
      </c>
    </row>
    <row r="276" spans="1:15" x14ac:dyDescent="0.25">
      <c r="A276" t="s">
        <v>601</v>
      </c>
      <c r="B276" t="s">
        <v>601</v>
      </c>
      <c r="C276" t="s">
        <v>920</v>
      </c>
      <c r="D276" t="s">
        <v>830</v>
      </c>
      <c r="E276" t="s">
        <v>921</v>
      </c>
      <c r="F276" t="s">
        <v>876</v>
      </c>
      <c r="G276" t="s">
        <v>115</v>
      </c>
      <c r="H276" t="s">
        <v>927</v>
      </c>
      <c r="I276" t="s">
        <v>928</v>
      </c>
      <c r="J276" t="s">
        <v>28</v>
      </c>
      <c r="K276" t="s">
        <v>726</v>
      </c>
      <c r="L276" t="s">
        <v>30</v>
      </c>
      <c r="M276" s="2" t="s">
        <v>30</v>
      </c>
      <c r="N276" t="s">
        <v>22</v>
      </c>
      <c r="O276" t="s">
        <v>924</v>
      </c>
    </row>
    <row r="277" spans="1:15" x14ac:dyDescent="0.25">
      <c r="A277" t="s">
        <v>601</v>
      </c>
      <c r="B277" t="s">
        <v>601</v>
      </c>
      <c r="C277" t="s">
        <v>920</v>
      </c>
      <c r="D277" t="s">
        <v>830</v>
      </c>
      <c r="E277" t="s">
        <v>921</v>
      </c>
      <c r="F277" t="s">
        <v>876</v>
      </c>
      <c r="G277" t="s">
        <v>115</v>
      </c>
      <c r="H277" t="s">
        <v>929</v>
      </c>
      <c r="I277" t="s">
        <v>912</v>
      </c>
      <c r="J277" t="s">
        <v>28</v>
      </c>
      <c r="K277" t="s">
        <v>726</v>
      </c>
      <c r="L277" t="s">
        <v>30</v>
      </c>
      <c r="M277" s="2" t="s">
        <v>30</v>
      </c>
      <c r="N277" t="s">
        <v>22</v>
      </c>
      <c r="O277" t="s">
        <v>924</v>
      </c>
    </row>
    <row r="278" spans="1:15" x14ac:dyDescent="0.25">
      <c r="A278" t="s">
        <v>601</v>
      </c>
      <c r="B278" t="s">
        <v>601</v>
      </c>
      <c r="C278" t="s">
        <v>930</v>
      </c>
      <c r="D278" t="s">
        <v>603</v>
      </c>
      <c r="E278" t="s">
        <v>931</v>
      </c>
      <c r="F278" t="s">
        <v>876</v>
      </c>
      <c r="G278" t="s">
        <v>932</v>
      </c>
      <c r="H278" t="s">
        <v>933</v>
      </c>
      <c r="I278" t="s">
        <v>934</v>
      </c>
      <c r="J278" t="s">
        <v>28</v>
      </c>
      <c r="K278" t="s">
        <v>726</v>
      </c>
      <c r="L278" t="s">
        <v>30</v>
      </c>
      <c r="M278" s="2" t="s">
        <v>30</v>
      </c>
      <c r="N278" t="s">
        <v>22</v>
      </c>
      <c r="O278" t="s">
        <v>804</v>
      </c>
    </row>
    <row r="279" spans="1:15" x14ac:dyDescent="0.25">
      <c r="A279" t="s">
        <v>601</v>
      </c>
      <c r="B279" t="s">
        <v>601</v>
      </c>
      <c r="C279" t="s">
        <v>935</v>
      </c>
      <c r="D279" t="s">
        <v>603</v>
      </c>
      <c r="E279" t="s">
        <v>936</v>
      </c>
      <c r="F279" t="s">
        <v>876</v>
      </c>
      <c r="G279" t="s">
        <v>937</v>
      </c>
      <c r="H279" t="s">
        <v>938</v>
      </c>
      <c r="I279" t="s">
        <v>939</v>
      </c>
      <c r="J279" t="s">
        <v>28</v>
      </c>
      <c r="K279" t="s">
        <v>726</v>
      </c>
      <c r="L279" t="s">
        <v>181</v>
      </c>
      <c r="M279" s="4" t="s">
        <v>182</v>
      </c>
      <c r="N279" t="s">
        <v>3511</v>
      </c>
      <c r="O279" t="s">
        <v>940</v>
      </c>
    </row>
    <row r="280" spans="1:15" x14ac:dyDescent="0.25">
      <c r="A280" t="s">
        <v>601</v>
      </c>
      <c r="B280" t="s">
        <v>601</v>
      </c>
      <c r="C280" t="s">
        <v>935</v>
      </c>
      <c r="D280" t="s">
        <v>603</v>
      </c>
      <c r="E280" t="s">
        <v>936</v>
      </c>
      <c r="F280" t="s">
        <v>876</v>
      </c>
      <c r="G280" t="s">
        <v>937</v>
      </c>
      <c r="H280" t="s">
        <v>941</v>
      </c>
      <c r="I280" t="s">
        <v>942</v>
      </c>
      <c r="J280" t="s">
        <v>28</v>
      </c>
      <c r="K280" t="s">
        <v>726</v>
      </c>
      <c r="L280" t="s">
        <v>30</v>
      </c>
      <c r="M280" s="2" t="s">
        <v>30</v>
      </c>
      <c r="N280" t="s">
        <v>22</v>
      </c>
      <c r="O280" t="s">
        <v>943</v>
      </c>
    </row>
    <row r="281" spans="1:15" x14ac:dyDescent="0.25">
      <c r="A281" t="s">
        <v>601</v>
      </c>
      <c r="B281" t="s">
        <v>601</v>
      </c>
      <c r="C281" t="s">
        <v>944</v>
      </c>
      <c r="D281" t="s">
        <v>603</v>
      </c>
      <c r="E281" t="s">
        <v>945</v>
      </c>
      <c r="F281" t="s">
        <v>876</v>
      </c>
      <c r="G281" t="s">
        <v>937</v>
      </c>
      <c r="H281" t="s">
        <v>946</v>
      </c>
      <c r="I281" t="s">
        <v>947</v>
      </c>
      <c r="J281" t="s">
        <v>28</v>
      </c>
      <c r="K281" t="s">
        <v>687</v>
      </c>
      <c r="L281" t="s">
        <v>30</v>
      </c>
      <c r="M281" s="2" t="s">
        <v>30</v>
      </c>
    </row>
    <row r="282" spans="1:15" x14ac:dyDescent="0.25">
      <c r="A282" t="s">
        <v>601</v>
      </c>
      <c r="B282" t="s">
        <v>601</v>
      </c>
      <c r="C282" t="s">
        <v>944</v>
      </c>
      <c r="D282" t="s">
        <v>603</v>
      </c>
      <c r="E282" t="s">
        <v>945</v>
      </c>
      <c r="F282" t="s">
        <v>876</v>
      </c>
      <c r="G282" t="s">
        <v>692</v>
      </c>
      <c r="H282" t="s">
        <v>948</v>
      </c>
      <c r="I282" t="s">
        <v>949</v>
      </c>
      <c r="J282" t="s">
        <v>28</v>
      </c>
      <c r="K282" t="s">
        <v>687</v>
      </c>
      <c r="L282" t="s">
        <v>186</v>
      </c>
      <c r="M282" s="5" t="s">
        <v>187</v>
      </c>
      <c r="N282" t="s">
        <v>3495</v>
      </c>
      <c r="O282" t="s">
        <v>641</v>
      </c>
    </row>
    <row r="283" spans="1:15" x14ac:dyDescent="0.25">
      <c r="A283" t="s">
        <v>601</v>
      </c>
      <c r="B283" t="s">
        <v>601</v>
      </c>
      <c r="C283" t="s">
        <v>944</v>
      </c>
      <c r="D283" t="s">
        <v>603</v>
      </c>
      <c r="E283" t="s">
        <v>945</v>
      </c>
      <c r="F283" t="s">
        <v>876</v>
      </c>
      <c r="G283" t="s">
        <v>692</v>
      </c>
      <c r="H283" t="s">
        <v>948</v>
      </c>
      <c r="I283" t="s">
        <v>950</v>
      </c>
      <c r="J283" t="s">
        <v>28</v>
      </c>
      <c r="K283" t="s">
        <v>687</v>
      </c>
      <c r="L283" t="s">
        <v>186</v>
      </c>
      <c r="M283" s="5" t="s">
        <v>187</v>
      </c>
      <c r="N283" t="s">
        <v>3507</v>
      </c>
      <c r="O283" t="s">
        <v>951</v>
      </c>
    </row>
    <row r="284" spans="1:15" x14ac:dyDescent="0.25">
      <c r="A284" t="s">
        <v>601</v>
      </c>
      <c r="B284" t="s">
        <v>601</v>
      </c>
      <c r="C284" t="s">
        <v>944</v>
      </c>
      <c r="D284" t="s">
        <v>603</v>
      </c>
      <c r="E284" t="s">
        <v>945</v>
      </c>
      <c r="F284" t="s">
        <v>876</v>
      </c>
      <c r="G284" t="s">
        <v>692</v>
      </c>
      <c r="H284" t="s">
        <v>952</v>
      </c>
      <c r="I284" t="s">
        <v>953</v>
      </c>
      <c r="J284" t="s">
        <v>28</v>
      </c>
      <c r="K284" t="s">
        <v>687</v>
      </c>
      <c r="L284" t="s">
        <v>30</v>
      </c>
      <c r="M284" s="2" t="s">
        <v>30</v>
      </c>
      <c r="N284" t="s">
        <v>22</v>
      </c>
      <c r="O284" t="s">
        <v>846</v>
      </c>
    </row>
    <row r="285" spans="1:15" x14ac:dyDescent="0.25">
      <c r="A285" t="s">
        <v>601</v>
      </c>
      <c r="B285" t="s">
        <v>601</v>
      </c>
      <c r="C285" t="s">
        <v>954</v>
      </c>
      <c r="D285" t="s">
        <v>603</v>
      </c>
      <c r="E285" t="s">
        <v>955</v>
      </c>
      <c r="F285" t="s">
        <v>876</v>
      </c>
      <c r="G285" t="s">
        <v>956</v>
      </c>
      <c r="H285" t="s">
        <v>957</v>
      </c>
      <c r="I285" t="s">
        <v>958</v>
      </c>
      <c r="J285" t="s">
        <v>28</v>
      </c>
      <c r="K285" t="s">
        <v>687</v>
      </c>
      <c r="L285" t="s">
        <v>30</v>
      </c>
      <c r="M285" s="2" t="s">
        <v>30</v>
      </c>
      <c r="N285" t="s">
        <v>22</v>
      </c>
      <c r="O285" t="s">
        <v>959</v>
      </c>
    </row>
    <row r="286" spans="1:15" x14ac:dyDescent="0.25">
      <c r="A286" t="s">
        <v>601</v>
      </c>
      <c r="B286" t="s">
        <v>601</v>
      </c>
      <c r="C286" t="s">
        <v>954</v>
      </c>
      <c r="D286" t="s">
        <v>603</v>
      </c>
      <c r="E286" t="s">
        <v>955</v>
      </c>
      <c r="F286" t="s">
        <v>876</v>
      </c>
      <c r="G286" t="s">
        <v>956</v>
      </c>
      <c r="H286" t="s">
        <v>960</v>
      </c>
      <c r="I286" t="s">
        <v>961</v>
      </c>
      <c r="J286" t="s">
        <v>28</v>
      </c>
      <c r="K286" t="s">
        <v>687</v>
      </c>
      <c r="L286" t="s">
        <v>186</v>
      </c>
      <c r="M286" s="5" t="s">
        <v>187</v>
      </c>
      <c r="N286" t="s">
        <v>3508</v>
      </c>
      <c r="O286" t="s">
        <v>962</v>
      </c>
    </row>
    <row r="287" spans="1:15" x14ac:dyDescent="0.25">
      <c r="A287" t="s">
        <v>601</v>
      </c>
      <c r="B287" t="s">
        <v>601</v>
      </c>
      <c r="C287" t="s">
        <v>963</v>
      </c>
      <c r="D287" t="s">
        <v>830</v>
      </c>
      <c r="E287" t="s">
        <v>964</v>
      </c>
      <c r="F287" t="s">
        <v>876</v>
      </c>
      <c r="G287" t="s">
        <v>62</v>
      </c>
      <c r="H287" t="s">
        <v>965</v>
      </c>
      <c r="I287" t="s">
        <v>966</v>
      </c>
      <c r="J287" t="s">
        <v>28</v>
      </c>
      <c r="K287" t="s">
        <v>687</v>
      </c>
      <c r="L287" t="s">
        <v>30</v>
      </c>
      <c r="M287" s="2" t="s">
        <v>30</v>
      </c>
      <c r="O287" t="s">
        <v>656</v>
      </c>
    </row>
    <row r="288" spans="1:15" x14ac:dyDescent="0.25">
      <c r="A288" t="s">
        <v>601</v>
      </c>
      <c r="B288" t="s">
        <v>601</v>
      </c>
      <c r="C288" t="s">
        <v>967</v>
      </c>
      <c r="D288" t="s">
        <v>830</v>
      </c>
      <c r="E288" t="s">
        <v>968</v>
      </c>
      <c r="F288" t="s">
        <v>876</v>
      </c>
      <c r="G288" t="s">
        <v>62</v>
      </c>
      <c r="H288" t="s">
        <v>969</v>
      </c>
      <c r="I288" t="s">
        <v>970</v>
      </c>
      <c r="J288" t="s">
        <v>28</v>
      </c>
      <c r="L288" t="s">
        <v>52</v>
      </c>
      <c r="M288" s="3" t="s">
        <v>52</v>
      </c>
    </row>
    <row r="289" spans="1:16" x14ac:dyDescent="0.25">
      <c r="A289" t="s">
        <v>601</v>
      </c>
      <c r="B289" t="s">
        <v>601</v>
      </c>
      <c r="C289" t="s">
        <v>971</v>
      </c>
      <c r="D289" t="s">
        <v>603</v>
      </c>
      <c r="E289" t="s">
        <v>972</v>
      </c>
      <c r="F289" t="s">
        <v>876</v>
      </c>
      <c r="G289" t="s">
        <v>115</v>
      </c>
      <c r="H289" t="s">
        <v>973</v>
      </c>
      <c r="I289" t="s">
        <v>974</v>
      </c>
      <c r="J289" t="s">
        <v>28</v>
      </c>
      <c r="K289" t="s">
        <v>975</v>
      </c>
      <c r="L289" t="s">
        <v>623</v>
      </c>
      <c r="M289" s="6" t="s">
        <v>373</v>
      </c>
      <c r="N289" t="s">
        <v>22</v>
      </c>
      <c r="O289" t="s">
        <v>976</v>
      </c>
    </row>
    <row r="290" spans="1:16" x14ac:dyDescent="0.25">
      <c r="A290" t="s">
        <v>601</v>
      </c>
      <c r="B290" t="s">
        <v>601</v>
      </c>
      <c r="C290" t="s">
        <v>977</v>
      </c>
      <c r="D290" t="s">
        <v>603</v>
      </c>
      <c r="E290" t="s">
        <v>978</v>
      </c>
      <c r="F290" t="s">
        <v>876</v>
      </c>
      <c r="G290" t="s">
        <v>937</v>
      </c>
      <c r="H290" t="s">
        <v>979</v>
      </c>
      <c r="I290" t="s">
        <v>980</v>
      </c>
      <c r="J290" t="s">
        <v>28</v>
      </c>
      <c r="K290" t="s">
        <v>975</v>
      </c>
      <c r="L290" t="s">
        <v>30</v>
      </c>
      <c r="M290" s="2" t="s">
        <v>30</v>
      </c>
    </row>
    <row r="291" spans="1:16" x14ac:dyDescent="0.25">
      <c r="A291" t="s">
        <v>601</v>
      </c>
      <c r="B291" t="s">
        <v>601</v>
      </c>
      <c r="C291" t="s">
        <v>977</v>
      </c>
      <c r="D291" t="s">
        <v>603</v>
      </c>
      <c r="E291" t="s">
        <v>978</v>
      </c>
      <c r="F291" t="s">
        <v>876</v>
      </c>
      <c r="G291" t="s">
        <v>937</v>
      </c>
      <c r="H291" t="s">
        <v>981</v>
      </c>
      <c r="I291" t="s">
        <v>982</v>
      </c>
      <c r="J291" t="s">
        <v>28</v>
      </c>
      <c r="K291" t="s">
        <v>975</v>
      </c>
      <c r="L291" t="s">
        <v>30</v>
      </c>
      <c r="M291" s="2" t="s">
        <v>30</v>
      </c>
      <c r="N291" t="s">
        <v>22</v>
      </c>
      <c r="O291" t="s">
        <v>983</v>
      </c>
    </row>
    <row r="292" spans="1:16" x14ac:dyDescent="0.25">
      <c r="A292" t="s">
        <v>601</v>
      </c>
      <c r="B292" t="s">
        <v>601</v>
      </c>
      <c r="C292" t="s">
        <v>984</v>
      </c>
      <c r="D292" t="s">
        <v>603</v>
      </c>
      <c r="E292" t="s">
        <v>985</v>
      </c>
      <c r="F292" t="s">
        <v>876</v>
      </c>
      <c r="G292" t="s">
        <v>937</v>
      </c>
      <c r="H292" t="s">
        <v>986</v>
      </c>
      <c r="I292" t="s">
        <v>987</v>
      </c>
      <c r="J292" t="s">
        <v>28</v>
      </c>
      <c r="K292" t="s">
        <v>975</v>
      </c>
      <c r="L292" t="s">
        <v>30</v>
      </c>
      <c r="M292" s="2" t="s">
        <v>30</v>
      </c>
      <c r="N292" t="s">
        <v>22</v>
      </c>
      <c r="O292" t="s">
        <v>988</v>
      </c>
    </row>
    <row r="293" spans="1:16" x14ac:dyDescent="0.25">
      <c r="A293" t="s">
        <v>601</v>
      </c>
      <c r="B293" t="s">
        <v>601</v>
      </c>
      <c r="C293" t="s">
        <v>984</v>
      </c>
      <c r="D293" t="s">
        <v>603</v>
      </c>
      <c r="E293" t="s">
        <v>985</v>
      </c>
      <c r="F293" t="s">
        <v>876</v>
      </c>
      <c r="G293" t="s">
        <v>937</v>
      </c>
      <c r="H293" t="s">
        <v>989</v>
      </c>
      <c r="I293" t="s">
        <v>990</v>
      </c>
      <c r="J293" t="s">
        <v>28</v>
      </c>
      <c r="K293" t="s">
        <v>975</v>
      </c>
      <c r="L293" t="s">
        <v>30</v>
      </c>
      <c r="M293" s="2" t="s">
        <v>30</v>
      </c>
      <c r="O293" t="s">
        <v>991</v>
      </c>
    </row>
    <row r="294" spans="1:16" x14ac:dyDescent="0.25">
      <c r="A294" t="s">
        <v>601</v>
      </c>
      <c r="B294" t="s">
        <v>601</v>
      </c>
      <c r="C294" t="s">
        <v>984</v>
      </c>
      <c r="D294" t="s">
        <v>603</v>
      </c>
      <c r="E294" t="s">
        <v>985</v>
      </c>
      <c r="F294" t="s">
        <v>876</v>
      </c>
      <c r="G294" t="s">
        <v>937</v>
      </c>
      <c r="H294" t="s">
        <v>992</v>
      </c>
      <c r="I294" t="s">
        <v>993</v>
      </c>
      <c r="J294" t="s">
        <v>28</v>
      </c>
      <c r="K294" t="s">
        <v>975</v>
      </c>
      <c r="L294" t="s">
        <v>30</v>
      </c>
      <c r="M294" s="2" t="s">
        <v>30</v>
      </c>
      <c r="O294" t="s">
        <v>991</v>
      </c>
    </row>
    <row r="295" spans="1:16" x14ac:dyDescent="0.25">
      <c r="A295" t="s">
        <v>601</v>
      </c>
      <c r="B295" t="s">
        <v>601</v>
      </c>
      <c r="C295" t="s">
        <v>994</v>
      </c>
      <c r="D295" t="s">
        <v>603</v>
      </c>
      <c r="E295" t="s">
        <v>995</v>
      </c>
      <c r="F295" t="s">
        <v>876</v>
      </c>
      <c r="G295" t="s">
        <v>605</v>
      </c>
      <c r="H295" t="s">
        <v>996</v>
      </c>
      <c r="I295" t="s">
        <v>997</v>
      </c>
      <c r="J295" t="s">
        <v>28</v>
      </c>
      <c r="K295" t="s">
        <v>36</v>
      </c>
      <c r="L295" t="s">
        <v>52</v>
      </c>
      <c r="M295" s="3" t="s">
        <v>52</v>
      </c>
      <c r="O295" t="s">
        <v>998</v>
      </c>
    </row>
    <row r="296" spans="1:16" x14ac:dyDescent="0.25">
      <c r="A296" t="s">
        <v>601</v>
      </c>
      <c r="B296" t="s">
        <v>601</v>
      </c>
      <c r="C296" t="s">
        <v>994</v>
      </c>
      <c r="D296" t="s">
        <v>603</v>
      </c>
      <c r="E296" t="s">
        <v>995</v>
      </c>
      <c r="F296" t="s">
        <v>876</v>
      </c>
      <c r="G296" t="s">
        <v>605</v>
      </c>
      <c r="H296" t="s">
        <v>999</v>
      </c>
      <c r="I296" t="s">
        <v>1000</v>
      </c>
      <c r="J296" t="s">
        <v>28</v>
      </c>
      <c r="K296" t="s">
        <v>36</v>
      </c>
      <c r="L296" t="s">
        <v>52</v>
      </c>
      <c r="M296" s="3" t="s">
        <v>52</v>
      </c>
      <c r="O296" t="s">
        <v>998</v>
      </c>
    </row>
    <row r="297" spans="1:16" x14ac:dyDescent="0.25">
      <c r="A297" t="s">
        <v>601</v>
      </c>
      <c r="B297" t="s">
        <v>601</v>
      </c>
      <c r="C297" t="s">
        <v>994</v>
      </c>
      <c r="D297" t="s">
        <v>603</v>
      </c>
      <c r="E297" t="s">
        <v>995</v>
      </c>
      <c r="F297" t="s">
        <v>876</v>
      </c>
      <c r="G297" t="s">
        <v>605</v>
      </c>
      <c r="H297" t="s">
        <v>1001</v>
      </c>
      <c r="I297" t="s">
        <v>1002</v>
      </c>
      <c r="J297" t="s">
        <v>28</v>
      </c>
      <c r="K297" t="s">
        <v>36</v>
      </c>
      <c r="L297" t="s">
        <v>52</v>
      </c>
      <c r="M297" s="3" t="s">
        <v>52</v>
      </c>
      <c r="O297" t="s">
        <v>998</v>
      </c>
    </row>
    <row r="298" spans="1:16" x14ac:dyDescent="0.25">
      <c r="A298" t="s">
        <v>601</v>
      </c>
      <c r="B298" t="s">
        <v>601</v>
      </c>
      <c r="C298" t="s">
        <v>1003</v>
      </c>
      <c r="D298" t="s">
        <v>603</v>
      </c>
      <c r="E298" t="s">
        <v>1004</v>
      </c>
      <c r="F298" t="s">
        <v>876</v>
      </c>
      <c r="G298" t="s">
        <v>692</v>
      </c>
      <c r="H298" t="s">
        <v>1005</v>
      </c>
      <c r="I298" t="s">
        <v>1006</v>
      </c>
      <c r="J298" t="s">
        <v>28</v>
      </c>
      <c r="K298" t="s">
        <v>975</v>
      </c>
      <c r="L298" t="s">
        <v>30</v>
      </c>
      <c r="M298" s="2" t="s">
        <v>30</v>
      </c>
    </row>
    <row r="299" spans="1:16" x14ac:dyDescent="0.25">
      <c r="A299" t="s">
        <v>601</v>
      </c>
      <c r="B299" t="s">
        <v>601</v>
      </c>
      <c r="C299" t="s">
        <v>1003</v>
      </c>
      <c r="D299" t="s">
        <v>603</v>
      </c>
      <c r="E299" t="s">
        <v>1004</v>
      </c>
      <c r="F299" t="s">
        <v>876</v>
      </c>
      <c r="G299" t="s">
        <v>692</v>
      </c>
      <c r="H299" t="s">
        <v>1007</v>
      </c>
      <c r="I299" t="s">
        <v>1008</v>
      </c>
      <c r="J299" t="s">
        <v>28</v>
      </c>
      <c r="K299" t="s">
        <v>975</v>
      </c>
      <c r="L299" t="s">
        <v>30</v>
      </c>
      <c r="M299" s="2" t="s">
        <v>30</v>
      </c>
      <c r="N299" t="s">
        <v>22</v>
      </c>
      <c r="O299" t="s">
        <v>1009</v>
      </c>
      <c r="P299" t="s">
        <v>126</v>
      </c>
    </row>
    <row r="300" spans="1:16" x14ac:dyDescent="0.25">
      <c r="A300" t="s">
        <v>601</v>
      </c>
      <c r="B300" t="s">
        <v>601</v>
      </c>
      <c r="C300" t="s">
        <v>1003</v>
      </c>
      <c r="D300" t="s">
        <v>603</v>
      </c>
      <c r="E300" t="s">
        <v>1004</v>
      </c>
      <c r="F300" t="s">
        <v>876</v>
      </c>
      <c r="G300" t="s">
        <v>692</v>
      </c>
      <c r="H300" t="s">
        <v>1010</v>
      </c>
      <c r="I300" t="s">
        <v>1011</v>
      </c>
      <c r="J300" t="s">
        <v>28</v>
      </c>
      <c r="K300" t="s">
        <v>975</v>
      </c>
      <c r="L300" t="s">
        <v>30</v>
      </c>
      <c r="M300" s="2" t="s">
        <v>30</v>
      </c>
      <c r="O300" t="s">
        <v>1012</v>
      </c>
    </row>
    <row r="301" spans="1:16" x14ac:dyDescent="0.25">
      <c r="A301" t="s">
        <v>601</v>
      </c>
      <c r="B301" t="s">
        <v>601</v>
      </c>
      <c r="C301" t="s">
        <v>1003</v>
      </c>
      <c r="D301" t="s">
        <v>603</v>
      </c>
      <c r="E301" t="s">
        <v>1004</v>
      </c>
      <c r="F301" t="s">
        <v>876</v>
      </c>
      <c r="G301" t="s">
        <v>692</v>
      </c>
      <c r="H301" t="s">
        <v>1013</v>
      </c>
      <c r="I301" t="s">
        <v>895</v>
      </c>
      <c r="J301" t="s">
        <v>28</v>
      </c>
      <c r="K301" t="s">
        <v>975</v>
      </c>
      <c r="L301" t="s">
        <v>623</v>
      </c>
      <c r="M301" s="6" t="s">
        <v>373</v>
      </c>
      <c r="O301" t="s">
        <v>1012</v>
      </c>
    </row>
    <row r="302" spans="1:16" x14ac:dyDescent="0.25">
      <c r="A302" t="s">
        <v>601</v>
      </c>
      <c r="B302" t="s">
        <v>601</v>
      </c>
      <c r="C302" t="s">
        <v>1014</v>
      </c>
      <c r="D302" t="s">
        <v>603</v>
      </c>
      <c r="E302" t="s">
        <v>1015</v>
      </c>
      <c r="F302" t="s">
        <v>876</v>
      </c>
      <c r="G302" t="s">
        <v>720</v>
      </c>
      <c r="H302" t="s">
        <v>1016</v>
      </c>
      <c r="I302" t="s">
        <v>1017</v>
      </c>
      <c r="J302" t="s">
        <v>28</v>
      </c>
      <c r="K302" t="s">
        <v>975</v>
      </c>
      <c r="L302" t="s">
        <v>30</v>
      </c>
      <c r="M302" s="2" t="s">
        <v>30</v>
      </c>
      <c r="O302" t="s">
        <v>1018</v>
      </c>
    </row>
    <row r="303" spans="1:16" x14ac:dyDescent="0.25">
      <c r="A303" t="s">
        <v>601</v>
      </c>
      <c r="B303" t="s">
        <v>601</v>
      </c>
      <c r="C303" t="s">
        <v>1019</v>
      </c>
      <c r="D303" t="s">
        <v>603</v>
      </c>
      <c r="E303" t="s">
        <v>1020</v>
      </c>
      <c r="F303" t="s">
        <v>876</v>
      </c>
      <c r="G303" t="s">
        <v>1021</v>
      </c>
      <c r="H303" t="s">
        <v>1022</v>
      </c>
      <c r="I303" t="s">
        <v>1023</v>
      </c>
      <c r="J303" t="s">
        <v>28</v>
      </c>
      <c r="K303" t="s">
        <v>975</v>
      </c>
      <c r="L303" t="s">
        <v>30</v>
      </c>
      <c r="M303" s="2" t="s">
        <v>30</v>
      </c>
      <c r="O303" t="s">
        <v>1018</v>
      </c>
    </row>
    <row r="304" spans="1:16" x14ac:dyDescent="0.25">
      <c r="A304" t="s">
        <v>601</v>
      </c>
      <c r="B304" t="s">
        <v>601</v>
      </c>
      <c r="C304" t="s">
        <v>1019</v>
      </c>
      <c r="D304" t="s">
        <v>603</v>
      </c>
      <c r="E304" t="s">
        <v>1020</v>
      </c>
      <c r="F304" t="s">
        <v>876</v>
      </c>
      <c r="G304" t="s">
        <v>1021</v>
      </c>
      <c r="H304" t="s">
        <v>1024</v>
      </c>
      <c r="I304" t="s">
        <v>1025</v>
      </c>
      <c r="J304" t="s">
        <v>28</v>
      </c>
      <c r="K304" t="s">
        <v>975</v>
      </c>
      <c r="L304" t="s">
        <v>30</v>
      </c>
      <c r="M304" s="2" t="s">
        <v>30</v>
      </c>
      <c r="O304" t="s">
        <v>1018</v>
      </c>
    </row>
    <row r="305" spans="1:15" x14ac:dyDescent="0.25">
      <c r="A305" t="s">
        <v>601</v>
      </c>
      <c r="B305" t="s">
        <v>601</v>
      </c>
      <c r="C305" t="s">
        <v>1019</v>
      </c>
      <c r="D305" t="s">
        <v>603</v>
      </c>
      <c r="E305" t="s">
        <v>1020</v>
      </c>
      <c r="F305" t="s">
        <v>876</v>
      </c>
      <c r="G305" t="s">
        <v>1021</v>
      </c>
      <c r="H305" t="s">
        <v>1026</v>
      </c>
      <c r="I305" t="s">
        <v>1027</v>
      </c>
      <c r="J305" t="s">
        <v>28</v>
      </c>
      <c r="K305" t="s">
        <v>975</v>
      </c>
      <c r="L305" t="s">
        <v>30</v>
      </c>
      <c r="M305" s="2" t="s">
        <v>30</v>
      </c>
      <c r="O305" t="s">
        <v>1018</v>
      </c>
    </row>
    <row r="306" spans="1:15" x14ac:dyDescent="0.25">
      <c r="A306" t="s">
        <v>601</v>
      </c>
      <c r="B306" t="s">
        <v>601</v>
      </c>
      <c r="C306" t="s">
        <v>1028</v>
      </c>
      <c r="D306" t="s">
        <v>603</v>
      </c>
      <c r="E306" t="s">
        <v>1029</v>
      </c>
      <c r="F306" t="s">
        <v>1030</v>
      </c>
      <c r="G306" t="s">
        <v>692</v>
      </c>
      <c r="H306" t="s">
        <v>1031</v>
      </c>
      <c r="I306" t="s">
        <v>1032</v>
      </c>
      <c r="J306" t="s">
        <v>28</v>
      </c>
      <c r="K306" t="s">
        <v>975</v>
      </c>
      <c r="L306" t="s">
        <v>30</v>
      </c>
      <c r="M306" s="2" t="s">
        <v>30</v>
      </c>
      <c r="N306" t="s">
        <v>78</v>
      </c>
      <c r="O306" t="s">
        <v>1033</v>
      </c>
    </row>
    <row r="307" spans="1:15" x14ac:dyDescent="0.25">
      <c r="A307" t="s">
        <v>601</v>
      </c>
      <c r="B307" t="s">
        <v>601</v>
      </c>
      <c r="C307" t="s">
        <v>1028</v>
      </c>
      <c r="D307" t="s">
        <v>603</v>
      </c>
      <c r="E307" t="s">
        <v>1029</v>
      </c>
      <c r="F307" t="s">
        <v>1030</v>
      </c>
      <c r="G307" t="s">
        <v>692</v>
      </c>
      <c r="H307" t="s">
        <v>1034</v>
      </c>
      <c r="I307" t="s">
        <v>1035</v>
      </c>
      <c r="J307" t="s">
        <v>28</v>
      </c>
      <c r="K307" t="s">
        <v>975</v>
      </c>
      <c r="L307" t="s">
        <v>623</v>
      </c>
      <c r="M307" s="6" t="s">
        <v>373</v>
      </c>
      <c r="N307" t="s">
        <v>22</v>
      </c>
      <c r="O307" t="s">
        <v>1036</v>
      </c>
    </row>
    <row r="308" spans="1:15" x14ac:dyDescent="0.25">
      <c r="A308" t="s">
        <v>601</v>
      </c>
      <c r="B308" t="s">
        <v>601</v>
      </c>
      <c r="C308" t="s">
        <v>1037</v>
      </c>
      <c r="D308" t="s">
        <v>603</v>
      </c>
      <c r="E308" t="s">
        <v>1038</v>
      </c>
      <c r="F308" t="s">
        <v>1030</v>
      </c>
      <c r="G308" t="s">
        <v>1039</v>
      </c>
      <c r="H308" t="s">
        <v>1040</v>
      </c>
      <c r="I308" t="s">
        <v>1041</v>
      </c>
      <c r="J308" t="s">
        <v>28</v>
      </c>
      <c r="K308" t="s">
        <v>1042</v>
      </c>
      <c r="L308" t="s">
        <v>30</v>
      </c>
      <c r="M308" s="2" t="s">
        <v>30</v>
      </c>
      <c r="N308" t="s">
        <v>22</v>
      </c>
      <c r="O308" t="s">
        <v>1043</v>
      </c>
    </row>
    <row r="309" spans="1:15" x14ac:dyDescent="0.25">
      <c r="A309" t="s">
        <v>601</v>
      </c>
      <c r="B309" t="s">
        <v>601</v>
      </c>
      <c r="C309" t="s">
        <v>1037</v>
      </c>
      <c r="D309" t="s">
        <v>603</v>
      </c>
      <c r="E309" t="s">
        <v>1038</v>
      </c>
      <c r="F309" t="s">
        <v>1030</v>
      </c>
      <c r="G309" t="s">
        <v>1039</v>
      </c>
      <c r="H309" t="s">
        <v>1044</v>
      </c>
      <c r="I309" t="s">
        <v>1045</v>
      </c>
      <c r="J309" t="s">
        <v>28</v>
      </c>
      <c r="K309" t="s">
        <v>1042</v>
      </c>
      <c r="L309" t="s">
        <v>623</v>
      </c>
      <c r="M309" s="6" t="s">
        <v>373</v>
      </c>
      <c r="N309" t="s">
        <v>22</v>
      </c>
      <c r="O309" t="s">
        <v>1046</v>
      </c>
    </row>
    <row r="310" spans="1:15" x14ac:dyDescent="0.25">
      <c r="A310" t="s">
        <v>601</v>
      </c>
      <c r="B310" t="s">
        <v>601</v>
      </c>
      <c r="C310" t="s">
        <v>1047</v>
      </c>
      <c r="D310" t="s">
        <v>603</v>
      </c>
      <c r="E310" t="s">
        <v>1048</v>
      </c>
      <c r="F310" t="s">
        <v>1049</v>
      </c>
      <c r="G310" t="s">
        <v>937</v>
      </c>
      <c r="H310" t="s">
        <v>1050</v>
      </c>
      <c r="I310" t="s">
        <v>1051</v>
      </c>
      <c r="J310" t="s">
        <v>28</v>
      </c>
      <c r="K310" t="s">
        <v>1042</v>
      </c>
      <c r="L310" t="s">
        <v>30</v>
      </c>
      <c r="M310" s="2" t="s">
        <v>30</v>
      </c>
    </row>
    <row r="311" spans="1:15" x14ac:dyDescent="0.25">
      <c r="A311" t="s">
        <v>601</v>
      </c>
      <c r="B311" t="s">
        <v>601</v>
      </c>
      <c r="C311" t="s">
        <v>1047</v>
      </c>
      <c r="D311" t="s">
        <v>603</v>
      </c>
      <c r="E311" t="s">
        <v>1048</v>
      </c>
      <c r="F311" t="s">
        <v>1049</v>
      </c>
      <c r="G311" t="s">
        <v>937</v>
      </c>
      <c r="H311" t="s">
        <v>1052</v>
      </c>
      <c r="I311" t="s">
        <v>1053</v>
      </c>
      <c r="J311" t="s">
        <v>28</v>
      </c>
      <c r="K311" t="s">
        <v>1042</v>
      </c>
      <c r="L311" t="s">
        <v>30</v>
      </c>
      <c r="M311" s="2" t="s">
        <v>30</v>
      </c>
      <c r="N311" t="s">
        <v>78</v>
      </c>
      <c r="O311" t="s">
        <v>1054</v>
      </c>
    </row>
    <row r="312" spans="1:15" x14ac:dyDescent="0.25">
      <c r="A312" t="s">
        <v>601</v>
      </c>
      <c r="B312" t="s">
        <v>601</v>
      </c>
      <c r="C312" t="s">
        <v>1055</v>
      </c>
      <c r="D312" t="s">
        <v>603</v>
      </c>
      <c r="E312" t="s">
        <v>1056</v>
      </c>
      <c r="F312" t="s">
        <v>1049</v>
      </c>
      <c r="G312" t="s">
        <v>937</v>
      </c>
      <c r="H312" t="s">
        <v>1057</v>
      </c>
      <c r="I312" t="s">
        <v>1058</v>
      </c>
      <c r="J312" t="s">
        <v>28</v>
      </c>
      <c r="K312" t="s">
        <v>1042</v>
      </c>
      <c r="L312" t="s">
        <v>30</v>
      </c>
      <c r="M312" s="2" t="s">
        <v>30</v>
      </c>
      <c r="N312" t="s">
        <v>22</v>
      </c>
      <c r="O312" t="s">
        <v>1059</v>
      </c>
    </row>
    <row r="313" spans="1:15" x14ac:dyDescent="0.25">
      <c r="A313" t="s">
        <v>601</v>
      </c>
      <c r="B313" t="s">
        <v>601</v>
      </c>
      <c r="C313" t="s">
        <v>1055</v>
      </c>
      <c r="D313" t="s">
        <v>603</v>
      </c>
      <c r="E313" t="s">
        <v>1056</v>
      </c>
      <c r="F313" t="s">
        <v>1049</v>
      </c>
      <c r="G313" t="s">
        <v>937</v>
      </c>
      <c r="H313" t="s">
        <v>1060</v>
      </c>
      <c r="I313" t="s">
        <v>1061</v>
      </c>
      <c r="J313" t="s">
        <v>28</v>
      </c>
      <c r="K313" t="s">
        <v>1042</v>
      </c>
      <c r="L313" t="s">
        <v>30</v>
      </c>
      <c r="M313" s="2" t="s">
        <v>30</v>
      </c>
      <c r="O313" t="s">
        <v>1062</v>
      </c>
    </row>
    <row r="314" spans="1:15" x14ac:dyDescent="0.25">
      <c r="A314" t="s">
        <v>601</v>
      </c>
      <c r="B314" t="s">
        <v>601</v>
      </c>
      <c r="C314" t="s">
        <v>1055</v>
      </c>
      <c r="D314" t="s">
        <v>603</v>
      </c>
      <c r="E314" t="s">
        <v>1056</v>
      </c>
      <c r="F314" t="s">
        <v>1049</v>
      </c>
      <c r="G314" t="s">
        <v>937</v>
      </c>
      <c r="H314" t="s">
        <v>1063</v>
      </c>
      <c r="I314" t="s">
        <v>895</v>
      </c>
      <c r="J314" t="s">
        <v>28</v>
      </c>
      <c r="K314" t="s">
        <v>1042</v>
      </c>
      <c r="L314" t="s">
        <v>30</v>
      </c>
      <c r="M314" s="2" t="s">
        <v>30</v>
      </c>
      <c r="O314" t="s">
        <v>1062</v>
      </c>
    </row>
    <row r="315" spans="1:15" x14ac:dyDescent="0.25">
      <c r="A315" t="s">
        <v>601</v>
      </c>
      <c r="B315" t="s">
        <v>601</v>
      </c>
      <c r="C315" t="s">
        <v>1064</v>
      </c>
      <c r="D315" t="s">
        <v>603</v>
      </c>
      <c r="E315" t="s">
        <v>1065</v>
      </c>
      <c r="F315" t="s">
        <v>1049</v>
      </c>
      <c r="G315" t="s">
        <v>756</v>
      </c>
      <c r="H315" t="s">
        <v>1066</v>
      </c>
      <c r="I315" t="s">
        <v>1067</v>
      </c>
      <c r="J315" t="s">
        <v>28</v>
      </c>
      <c r="K315" t="s">
        <v>1042</v>
      </c>
      <c r="L315" t="s">
        <v>30</v>
      </c>
      <c r="M315" s="2" t="s">
        <v>30</v>
      </c>
      <c r="O315" t="s">
        <v>1062</v>
      </c>
    </row>
    <row r="316" spans="1:15" x14ac:dyDescent="0.25">
      <c r="A316" t="s">
        <v>601</v>
      </c>
      <c r="B316" t="s">
        <v>601</v>
      </c>
      <c r="C316" t="s">
        <v>1064</v>
      </c>
      <c r="D316" t="s">
        <v>603</v>
      </c>
      <c r="E316" t="s">
        <v>1065</v>
      </c>
      <c r="F316" t="s">
        <v>1049</v>
      </c>
      <c r="G316" t="s">
        <v>756</v>
      </c>
      <c r="H316" t="s">
        <v>1068</v>
      </c>
      <c r="I316" t="s">
        <v>1069</v>
      </c>
      <c r="J316" t="s">
        <v>28</v>
      </c>
      <c r="K316" t="s">
        <v>1042</v>
      </c>
      <c r="L316" t="s">
        <v>30</v>
      </c>
      <c r="M316" s="2" t="s">
        <v>30</v>
      </c>
      <c r="O316" t="s">
        <v>1062</v>
      </c>
    </row>
    <row r="317" spans="1:15" x14ac:dyDescent="0.25">
      <c r="A317" t="s">
        <v>601</v>
      </c>
      <c r="B317" t="s">
        <v>601</v>
      </c>
      <c r="C317" t="s">
        <v>1064</v>
      </c>
      <c r="D317" t="s">
        <v>603</v>
      </c>
      <c r="E317" t="s">
        <v>1065</v>
      </c>
      <c r="F317" t="s">
        <v>1049</v>
      </c>
      <c r="G317" t="s">
        <v>756</v>
      </c>
      <c r="H317" t="s">
        <v>1070</v>
      </c>
      <c r="I317" t="s">
        <v>1071</v>
      </c>
      <c r="J317" t="s">
        <v>28</v>
      </c>
      <c r="K317" t="s">
        <v>1042</v>
      </c>
      <c r="L317" t="s">
        <v>30</v>
      </c>
      <c r="M317" s="2" t="s">
        <v>30</v>
      </c>
      <c r="O317" t="s">
        <v>1062</v>
      </c>
    </row>
    <row r="318" spans="1:15" x14ac:dyDescent="0.25">
      <c r="A318" t="s">
        <v>601</v>
      </c>
      <c r="B318" t="s">
        <v>601</v>
      </c>
      <c r="C318" t="s">
        <v>1064</v>
      </c>
      <c r="D318" t="s">
        <v>603</v>
      </c>
      <c r="E318" t="s">
        <v>1065</v>
      </c>
      <c r="F318" t="s">
        <v>1049</v>
      </c>
      <c r="G318" t="s">
        <v>756</v>
      </c>
      <c r="H318" t="s">
        <v>1072</v>
      </c>
      <c r="I318" t="s">
        <v>1073</v>
      </c>
      <c r="J318" t="s">
        <v>28</v>
      </c>
      <c r="K318" t="s">
        <v>1042</v>
      </c>
      <c r="L318" t="s">
        <v>30</v>
      </c>
      <c r="M318" s="2" t="s">
        <v>30</v>
      </c>
      <c r="O318" t="s">
        <v>1062</v>
      </c>
    </row>
    <row r="319" spans="1:15" x14ac:dyDescent="0.25">
      <c r="A319" t="s">
        <v>601</v>
      </c>
      <c r="B319" t="s">
        <v>601</v>
      </c>
      <c r="C319" t="s">
        <v>1064</v>
      </c>
      <c r="D319" t="s">
        <v>603</v>
      </c>
      <c r="E319" t="s">
        <v>1065</v>
      </c>
      <c r="F319" t="s">
        <v>1049</v>
      </c>
      <c r="G319" t="s">
        <v>756</v>
      </c>
      <c r="H319" t="s">
        <v>1074</v>
      </c>
      <c r="I319" t="s">
        <v>1075</v>
      </c>
      <c r="J319" t="s">
        <v>28</v>
      </c>
      <c r="K319" t="s">
        <v>1042</v>
      </c>
      <c r="L319" t="s">
        <v>30</v>
      </c>
      <c r="M319" s="2" t="s">
        <v>30</v>
      </c>
      <c r="O319" t="s">
        <v>1062</v>
      </c>
    </row>
    <row r="320" spans="1:15" x14ac:dyDescent="0.25">
      <c r="A320" t="s">
        <v>601</v>
      </c>
      <c r="B320" t="s">
        <v>601</v>
      </c>
      <c r="C320" t="s">
        <v>1076</v>
      </c>
      <c r="D320" t="s">
        <v>603</v>
      </c>
      <c r="E320" t="s">
        <v>1077</v>
      </c>
      <c r="F320" t="s">
        <v>1049</v>
      </c>
      <c r="G320" t="s">
        <v>937</v>
      </c>
      <c r="H320" t="s">
        <v>1078</v>
      </c>
      <c r="I320" t="s">
        <v>1079</v>
      </c>
      <c r="J320" t="s">
        <v>28</v>
      </c>
      <c r="K320" t="s">
        <v>1042</v>
      </c>
      <c r="L320" t="s">
        <v>30</v>
      </c>
      <c r="M320" s="2" t="s">
        <v>30</v>
      </c>
      <c r="O320" t="s">
        <v>1062</v>
      </c>
    </row>
    <row r="321" spans="1:18" x14ac:dyDescent="0.25">
      <c r="A321" t="s">
        <v>601</v>
      </c>
      <c r="B321" t="s">
        <v>601</v>
      </c>
      <c r="C321" t="s">
        <v>1080</v>
      </c>
      <c r="D321" t="s">
        <v>603</v>
      </c>
      <c r="E321" t="s">
        <v>1081</v>
      </c>
      <c r="F321" t="s">
        <v>876</v>
      </c>
      <c r="G321" t="s">
        <v>115</v>
      </c>
      <c r="H321" t="s">
        <v>1082</v>
      </c>
      <c r="I321" t="s">
        <v>1083</v>
      </c>
      <c r="J321" t="s">
        <v>28</v>
      </c>
      <c r="K321" t="s">
        <v>1042</v>
      </c>
      <c r="L321" t="s">
        <v>181</v>
      </c>
      <c r="M321" s="4" t="s">
        <v>182</v>
      </c>
      <c r="N321" t="s">
        <v>1082</v>
      </c>
      <c r="O321" t="s">
        <v>1084</v>
      </c>
    </row>
    <row r="322" spans="1:18" x14ac:dyDescent="0.25">
      <c r="A322" t="s">
        <v>601</v>
      </c>
      <c r="B322" t="s">
        <v>601</v>
      </c>
      <c r="C322" t="s">
        <v>1080</v>
      </c>
      <c r="D322" t="s">
        <v>603</v>
      </c>
      <c r="E322" t="s">
        <v>1081</v>
      </c>
      <c r="F322" t="s">
        <v>876</v>
      </c>
      <c r="G322" t="s">
        <v>115</v>
      </c>
      <c r="H322" t="s">
        <v>1085</v>
      </c>
      <c r="I322" t="s">
        <v>1086</v>
      </c>
      <c r="J322" t="s">
        <v>28</v>
      </c>
      <c r="K322" t="s">
        <v>1042</v>
      </c>
      <c r="L322" t="s">
        <v>30</v>
      </c>
      <c r="M322" s="2" t="s">
        <v>30</v>
      </c>
      <c r="O322" t="s">
        <v>1087</v>
      </c>
    </row>
    <row r="323" spans="1:18" x14ac:dyDescent="0.25">
      <c r="A323" t="s">
        <v>601</v>
      </c>
      <c r="B323" t="s">
        <v>601</v>
      </c>
      <c r="C323" t="s">
        <v>1080</v>
      </c>
      <c r="D323" t="s">
        <v>603</v>
      </c>
      <c r="E323" t="s">
        <v>1081</v>
      </c>
      <c r="F323" t="s">
        <v>876</v>
      </c>
      <c r="G323" t="s">
        <v>115</v>
      </c>
      <c r="H323" t="s">
        <v>1088</v>
      </c>
      <c r="I323" t="s">
        <v>895</v>
      </c>
      <c r="J323" t="s">
        <v>28</v>
      </c>
      <c r="K323" t="s">
        <v>1042</v>
      </c>
      <c r="L323" t="s">
        <v>30</v>
      </c>
      <c r="M323" s="2" t="s">
        <v>30</v>
      </c>
      <c r="O323" t="s">
        <v>1087</v>
      </c>
    </row>
    <row r="324" spans="1:18" x14ac:dyDescent="0.25">
      <c r="A324" t="s">
        <v>1089</v>
      </c>
      <c r="B324" t="s">
        <v>1089</v>
      </c>
      <c r="C324" t="s">
        <v>1090</v>
      </c>
      <c r="D324" t="s">
        <v>1091</v>
      </c>
      <c r="E324" t="s">
        <v>1092</v>
      </c>
      <c r="F324" t="s">
        <v>1089</v>
      </c>
      <c r="G324" t="s">
        <v>1093</v>
      </c>
      <c r="H324" t="s">
        <v>1094</v>
      </c>
      <c r="I324" t="s">
        <v>1095</v>
      </c>
      <c r="J324" t="s">
        <v>28</v>
      </c>
      <c r="K324" t="s">
        <v>1096</v>
      </c>
      <c r="L324" t="s">
        <v>30</v>
      </c>
      <c r="M324" s="2" t="s">
        <v>30</v>
      </c>
    </row>
    <row r="325" spans="1:18" x14ac:dyDescent="0.25">
      <c r="A325" t="s">
        <v>1089</v>
      </c>
      <c r="B325" t="s">
        <v>1089</v>
      </c>
      <c r="C325" t="s">
        <v>1090</v>
      </c>
      <c r="D325" t="s">
        <v>1091</v>
      </c>
      <c r="E325" t="s">
        <v>1097</v>
      </c>
      <c r="F325" t="s">
        <v>1089</v>
      </c>
      <c r="G325" t="s">
        <v>1093</v>
      </c>
      <c r="H325" t="s">
        <v>1098</v>
      </c>
      <c r="I325" t="s">
        <v>1099</v>
      </c>
      <c r="J325" t="s">
        <v>28</v>
      </c>
      <c r="K325" t="s">
        <v>1096</v>
      </c>
      <c r="L325" t="s">
        <v>30</v>
      </c>
      <c r="M325" s="2" t="s">
        <v>30</v>
      </c>
    </row>
    <row r="326" spans="1:18" x14ac:dyDescent="0.25">
      <c r="A326" t="s">
        <v>1089</v>
      </c>
      <c r="B326" t="s">
        <v>1089</v>
      </c>
      <c r="C326" t="s">
        <v>1100</v>
      </c>
      <c r="D326" t="s">
        <v>1101</v>
      </c>
      <c r="E326" t="s">
        <v>1102</v>
      </c>
      <c r="F326" t="s">
        <v>1103</v>
      </c>
      <c r="G326" t="s">
        <v>1093</v>
      </c>
      <c r="H326" t="s">
        <v>1104</v>
      </c>
      <c r="I326" t="s">
        <v>1105</v>
      </c>
      <c r="J326" t="s">
        <v>28</v>
      </c>
      <c r="K326" t="s">
        <v>1106</v>
      </c>
      <c r="L326" t="s">
        <v>30</v>
      </c>
      <c r="M326" s="2" t="s">
        <v>30</v>
      </c>
      <c r="O326" t="s">
        <v>183</v>
      </c>
    </row>
    <row r="327" spans="1:18" x14ac:dyDescent="0.25">
      <c r="A327" t="s">
        <v>1089</v>
      </c>
      <c r="B327" t="s">
        <v>1089</v>
      </c>
      <c r="C327" t="s">
        <v>1100</v>
      </c>
      <c r="D327" t="s">
        <v>1101</v>
      </c>
      <c r="E327" t="s">
        <v>1102</v>
      </c>
      <c r="F327" t="s">
        <v>1103</v>
      </c>
      <c r="G327" t="s">
        <v>1093</v>
      </c>
      <c r="H327" t="s">
        <v>1107</v>
      </c>
      <c r="I327" t="s">
        <v>1108</v>
      </c>
      <c r="J327" t="s">
        <v>28</v>
      </c>
      <c r="K327" t="s">
        <v>1042</v>
      </c>
      <c r="L327" t="s">
        <v>30</v>
      </c>
      <c r="M327" s="2" t="s">
        <v>30</v>
      </c>
    </row>
    <row r="328" spans="1:18" x14ac:dyDescent="0.25">
      <c r="A328" t="s">
        <v>1089</v>
      </c>
      <c r="B328" t="s">
        <v>1089</v>
      </c>
      <c r="C328" t="s">
        <v>1100</v>
      </c>
      <c r="D328" t="s">
        <v>1101</v>
      </c>
      <c r="E328" t="s">
        <v>1102</v>
      </c>
      <c r="F328" t="s">
        <v>1103</v>
      </c>
      <c r="G328" t="s">
        <v>1093</v>
      </c>
      <c r="H328" t="s">
        <v>1109</v>
      </c>
      <c r="I328" t="s">
        <v>1110</v>
      </c>
      <c r="J328" t="s">
        <v>28</v>
      </c>
      <c r="K328" t="s">
        <v>439</v>
      </c>
      <c r="L328" t="s">
        <v>30</v>
      </c>
      <c r="M328" s="2" t="s">
        <v>30</v>
      </c>
      <c r="O328" t="s">
        <v>1111</v>
      </c>
      <c r="R328" t="s">
        <v>439</v>
      </c>
    </row>
    <row r="329" spans="1:18" x14ac:dyDescent="0.25">
      <c r="A329" t="s">
        <v>1089</v>
      </c>
      <c r="B329" t="s">
        <v>1089</v>
      </c>
      <c r="C329" t="s">
        <v>1100</v>
      </c>
      <c r="D329" t="s">
        <v>1101</v>
      </c>
      <c r="E329" t="s">
        <v>1102</v>
      </c>
      <c r="F329" t="s">
        <v>1103</v>
      </c>
      <c r="G329" t="s">
        <v>1093</v>
      </c>
      <c r="H329" t="s">
        <v>1112</v>
      </c>
      <c r="I329" t="s">
        <v>1113</v>
      </c>
      <c r="J329" t="s">
        <v>28</v>
      </c>
      <c r="K329" t="s">
        <v>1042</v>
      </c>
      <c r="L329" t="s">
        <v>30</v>
      </c>
      <c r="M329" s="2" t="s">
        <v>30</v>
      </c>
    </row>
    <row r="330" spans="1:18" x14ac:dyDescent="0.25">
      <c r="A330" t="s">
        <v>1089</v>
      </c>
      <c r="B330" t="s">
        <v>1089</v>
      </c>
      <c r="C330" t="s">
        <v>1100</v>
      </c>
      <c r="D330" t="s">
        <v>1101</v>
      </c>
      <c r="E330" t="s">
        <v>1102</v>
      </c>
      <c r="F330" t="s">
        <v>1103</v>
      </c>
      <c r="G330" t="s">
        <v>1093</v>
      </c>
      <c r="H330" t="s">
        <v>1114</v>
      </c>
      <c r="I330" t="s">
        <v>1115</v>
      </c>
      <c r="J330" t="s">
        <v>28</v>
      </c>
      <c r="K330" t="s">
        <v>36</v>
      </c>
      <c r="L330" t="s">
        <v>52</v>
      </c>
      <c r="M330" s="3" t="s">
        <v>52</v>
      </c>
      <c r="O330" t="s">
        <v>1116</v>
      </c>
    </row>
    <row r="331" spans="1:18" x14ac:dyDescent="0.25">
      <c r="A331" t="s">
        <v>1089</v>
      </c>
      <c r="B331" t="s">
        <v>1089</v>
      </c>
      <c r="C331" t="s">
        <v>1117</v>
      </c>
      <c r="D331" t="s">
        <v>1101</v>
      </c>
      <c r="E331" t="s">
        <v>1118</v>
      </c>
      <c r="F331" t="s">
        <v>1119</v>
      </c>
      <c r="G331" t="s">
        <v>1120</v>
      </c>
      <c r="H331" t="s">
        <v>1121</v>
      </c>
      <c r="I331" t="s">
        <v>1122</v>
      </c>
      <c r="J331" t="s">
        <v>28</v>
      </c>
      <c r="K331" t="s">
        <v>1042</v>
      </c>
      <c r="L331" t="s">
        <v>30</v>
      </c>
      <c r="M331" s="2" t="s">
        <v>30</v>
      </c>
    </row>
    <row r="332" spans="1:18" x14ac:dyDescent="0.25">
      <c r="A332" t="s">
        <v>1089</v>
      </c>
      <c r="B332" t="s">
        <v>1089</v>
      </c>
      <c r="C332" t="s">
        <v>1117</v>
      </c>
      <c r="D332" t="s">
        <v>1101</v>
      </c>
      <c r="E332" t="s">
        <v>1118</v>
      </c>
      <c r="F332" t="s">
        <v>1119</v>
      </c>
      <c r="G332" t="s">
        <v>1120</v>
      </c>
      <c r="H332" t="s">
        <v>1123</v>
      </c>
      <c r="I332" t="s">
        <v>1124</v>
      </c>
      <c r="J332" t="s">
        <v>28</v>
      </c>
      <c r="K332" t="s">
        <v>1125</v>
      </c>
      <c r="L332" t="s">
        <v>30</v>
      </c>
      <c r="M332" s="2" t="s">
        <v>30</v>
      </c>
      <c r="O332" t="s">
        <v>1126</v>
      </c>
      <c r="R332" t="s">
        <v>1125</v>
      </c>
    </row>
    <row r="333" spans="1:18" x14ac:dyDescent="0.25">
      <c r="A333" t="s">
        <v>1089</v>
      </c>
      <c r="B333" t="s">
        <v>1089</v>
      </c>
      <c r="C333" t="s">
        <v>1117</v>
      </c>
      <c r="D333" t="s">
        <v>1101</v>
      </c>
      <c r="E333" t="s">
        <v>1118</v>
      </c>
      <c r="F333" t="s">
        <v>1119</v>
      </c>
      <c r="G333" t="s">
        <v>1120</v>
      </c>
      <c r="H333" t="s">
        <v>1127</v>
      </c>
      <c r="I333" t="s">
        <v>1128</v>
      </c>
      <c r="J333" t="s">
        <v>28</v>
      </c>
      <c r="K333" t="s">
        <v>1042</v>
      </c>
      <c r="L333" t="s">
        <v>52</v>
      </c>
      <c r="M333" s="3" t="s">
        <v>52</v>
      </c>
      <c r="O333" t="s">
        <v>1129</v>
      </c>
    </row>
    <row r="334" spans="1:18" x14ac:dyDescent="0.25">
      <c r="A334" t="s">
        <v>1089</v>
      </c>
      <c r="B334" t="s">
        <v>1089</v>
      </c>
      <c r="C334" t="s">
        <v>1130</v>
      </c>
      <c r="D334" t="s">
        <v>1101</v>
      </c>
      <c r="E334" t="s">
        <v>1131</v>
      </c>
      <c r="F334" t="s">
        <v>1119</v>
      </c>
      <c r="G334" t="s">
        <v>1132</v>
      </c>
      <c r="H334" t="s">
        <v>1133</v>
      </c>
      <c r="I334" t="s">
        <v>1134</v>
      </c>
      <c r="J334" t="s">
        <v>28</v>
      </c>
      <c r="K334" t="s">
        <v>1135</v>
      </c>
      <c r="L334" t="s">
        <v>52</v>
      </c>
      <c r="M334" s="3" t="s">
        <v>52</v>
      </c>
      <c r="O334" t="s">
        <v>1136</v>
      </c>
    </row>
    <row r="335" spans="1:18" x14ac:dyDescent="0.25">
      <c r="A335" t="s">
        <v>1089</v>
      </c>
      <c r="B335" t="s">
        <v>1089</v>
      </c>
      <c r="C335" t="s">
        <v>1130</v>
      </c>
      <c r="D335" t="s">
        <v>1101</v>
      </c>
      <c r="E335" t="s">
        <v>1131</v>
      </c>
      <c r="F335" t="s">
        <v>1119</v>
      </c>
      <c r="G335" t="s">
        <v>1132</v>
      </c>
      <c r="H335" t="s">
        <v>1137</v>
      </c>
      <c r="I335" t="s">
        <v>1138</v>
      </c>
      <c r="J335" t="s">
        <v>28</v>
      </c>
      <c r="K335" t="s">
        <v>1135</v>
      </c>
      <c r="L335" t="s">
        <v>52</v>
      </c>
      <c r="M335" s="3" t="s">
        <v>52</v>
      </c>
      <c r="O335" t="s">
        <v>1136</v>
      </c>
    </row>
    <row r="336" spans="1:18" x14ac:dyDescent="0.25">
      <c r="A336" t="s">
        <v>1089</v>
      </c>
      <c r="B336" t="s">
        <v>1089</v>
      </c>
      <c r="C336" t="s">
        <v>1130</v>
      </c>
      <c r="D336" t="s">
        <v>1101</v>
      </c>
      <c r="E336" t="s">
        <v>1131</v>
      </c>
      <c r="F336" t="s">
        <v>1119</v>
      </c>
      <c r="G336" t="s">
        <v>1132</v>
      </c>
      <c r="H336" t="s">
        <v>1139</v>
      </c>
      <c r="I336" t="s">
        <v>1140</v>
      </c>
      <c r="J336" t="s">
        <v>28</v>
      </c>
      <c r="K336" t="s">
        <v>1135</v>
      </c>
      <c r="L336" t="s">
        <v>52</v>
      </c>
      <c r="M336" s="3" t="s">
        <v>52</v>
      </c>
      <c r="O336" t="s">
        <v>1136</v>
      </c>
    </row>
    <row r="337" spans="1:18" x14ac:dyDescent="0.25">
      <c r="A337" t="s">
        <v>1089</v>
      </c>
      <c r="B337" t="s">
        <v>1089</v>
      </c>
      <c r="C337" t="s">
        <v>1130</v>
      </c>
      <c r="D337" t="s">
        <v>1101</v>
      </c>
      <c r="E337" t="s">
        <v>1131</v>
      </c>
      <c r="F337" t="s">
        <v>1119</v>
      </c>
      <c r="G337" t="s">
        <v>1132</v>
      </c>
      <c r="H337" t="s">
        <v>1141</v>
      </c>
      <c r="I337" t="s">
        <v>1142</v>
      </c>
      <c r="J337" t="s">
        <v>28</v>
      </c>
      <c r="K337" t="s">
        <v>1135</v>
      </c>
      <c r="L337" t="s">
        <v>52</v>
      </c>
      <c r="M337" s="3" t="s">
        <v>52</v>
      </c>
      <c r="O337" t="s">
        <v>1136</v>
      </c>
    </row>
    <row r="338" spans="1:18" x14ac:dyDescent="0.25">
      <c r="A338" t="s">
        <v>1089</v>
      </c>
      <c r="B338" t="s">
        <v>1089</v>
      </c>
      <c r="C338" t="s">
        <v>1130</v>
      </c>
      <c r="D338" t="s">
        <v>1101</v>
      </c>
      <c r="E338" t="s">
        <v>1131</v>
      </c>
      <c r="F338" t="s">
        <v>1119</v>
      </c>
      <c r="G338" t="s">
        <v>1132</v>
      </c>
      <c r="H338" t="s">
        <v>1143</v>
      </c>
      <c r="I338" t="s">
        <v>1144</v>
      </c>
      <c r="J338" t="s">
        <v>28</v>
      </c>
      <c r="K338" t="s">
        <v>1135</v>
      </c>
      <c r="L338" t="s">
        <v>52</v>
      </c>
      <c r="M338" s="3" t="s">
        <v>52</v>
      </c>
      <c r="O338" t="s">
        <v>1136</v>
      </c>
    </row>
    <row r="339" spans="1:18" x14ac:dyDescent="0.25">
      <c r="A339" t="s">
        <v>1089</v>
      </c>
      <c r="B339" t="s">
        <v>1089</v>
      </c>
      <c r="C339" t="s">
        <v>1130</v>
      </c>
      <c r="D339" t="s">
        <v>1101</v>
      </c>
      <c r="E339" t="s">
        <v>1131</v>
      </c>
      <c r="F339" t="s">
        <v>1119</v>
      </c>
      <c r="G339" t="s">
        <v>1132</v>
      </c>
      <c r="H339" t="s">
        <v>1145</v>
      </c>
      <c r="I339" t="s">
        <v>1146</v>
      </c>
      <c r="J339" t="s">
        <v>28</v>
      </c>
      <c r="K339" t="s">
        <v>1135</v>
      </c>
      <c r="L339" t="s">
        <v>52</v>
      </c>
      <c r="M339" s="3" t="s">
        <v>52</v>
      </c>
      <c r="O339" t="s">
        <v>1136</v>
      </c>
    </row>
    <row r="340" spans="1:18" x14ac:dyDescent="0.25">
      <c r="A340" t="s">
        <v>1089</v>
      </c>
      <c r="B340" t="s">
        <v>1089</v>
      </c>
      <c r="C340" t="s">
        <v>1147</v>
      </c>
      <c r="D340" t="s">
        <v>1101</v>
      </c>
      <c r="E340" t="s">
        <v>1148</v>
      </c>
      <c r="F340" t="s">
        <v>1149</v>
      </c>
      <c r="G340" t="s">
        <v>1150</v>
      </c>
      <c r="H340" t="s">
        <v>1151</v>
      </c>
      <c r="I340" t="s">
        <v>1152</v>
      </c>
      <c r="J340" t="s">
        <v>28</v>
      </c>
      <c r="K340" t="s">
        <v>1135</v>
      </c>
      <c r="L340" t="s">
        <v>52</v>
      </c>
      <c r="M340" s="3" t="s">
        <v>52</v>
      </c>
      <c r="O340" t="s">
        <v>1136</v>
      </c>
    </row>
    <row r="341" spans="1:18" x14ac:dyDescent="0.25">
      <c r="A341" t="s">
        <v>1089</v>
      </c>
      <c r="B341" t="s">
        <v>1089</v>
      </c>
      <c r="C341" t="s">
        <v>1147</v>
      </c>
      <c r="D341" t="s">
        <v>1101</v>
      </c>
      <c r="E341" t="s">
        <v>1148</v>
      </c>
      <c r="F341" t="s">
        <v>1149</v>
      </c>
      <c r="G341" t="s">
        <v>1150</v>
      </c>
      <c r="H341" t="s">
        <v>1153</v>
      </c>
      <c r="I341" t="s">
        <v>1154</v>
      </c>
      <c r="J341" t="s">
        <v>28</v>
      </c>
      <c r="K341" t="s">
        <v>1135</v>
      </c>
      <c r="L341" t="s">
        <v>52</v>
      </c>
      <c r="M341" s="3" t="s">
        <v>52</v>
      </c>
      <c r="O341" t="s">
        <v>1136</v>
      </c>
    </row>
    <row r="342" spans="1:18" x14ac:dyDescent="0.25">
      <c r="A342" t="s">
        <v>1089</v>
      </c>
      <c r="B342" t="s">
        <v>1089</v>
      </c>
      <c r="C342" t="s">
        <v>1147</v>
      </c>
      <c r="D342" t="s">
        <v>1101</v>
      </c>
      <c r="E342" t="s">
        <v>1148</v>
      </c>
      <c r="F342" t="s">
        <v>1149</v>
      </c>
      <c r="G342" t="s">
        <v>1150</v>
      </c>
      <c r="H342" t="s">
        <v>1155</v>
      </c>
      <c r="I342" t="s">
        <v>1156</v>
      </c>
      <c r="J342" t="s">
        <v>28</v>
      </c>
      <c r="K342" t="s">
        <v>1135</v>
      </c>
      <c r="L342" t="s">
        <v>52</v>
      </c>
      <c r="M342" s="3" t="s">
        <v>52</v>
      </c>
      <c r="O342" t="s">
        <v>1136</v>
      </c>
    </row>
    <row r="343" spans="1:18" x14ac:dyDescent="0.25">
      <c r="A343" t="s">
        <v>1089</v>
      </c>
      <c r="B343" t="s">
        <v>1089</v>
      </c>
      <c r="C343" t="s">
        <v>1147</v>
      </c>
      <c r="D343" t="s">
        <v>1101</v>
      </c>
      <c r="E343" t="s">
        <v>1148</v>
      </c>
      <c r="F343" t="s">
        <v>1149</v>
      </c>
      <c r="G343" t="s">
        <v>1150</v>
      </c>
      <c r="H343" t="s">
        <v>1157</v>
      </c>
      <c r="I343" t="s">
        <v>1158</v>
      </c>
      <c r="J343" t="s">
        <v>28</v>
      </c>
      <c r="K343" t="s">
        <v>1135</v>
      </c>
      <c r="L343" t="s">
        <v>52</v>
      </c>
      <c r="M343" s="3" t="s">
        <v>52</v>
      </c>
      <c r="O343" t="s">
        <v>1136</v>
      </c>
    </row>
    <row r="344" spans="1:18" x14ac:dyDescent="0.25">
      <c r="A344" t="s">
        <v>1089</v>
      </c>
      <c r="B344" t="s">
        <v>1089</v>
      </c>
      <c r="C344" t="s">
        <v>1159</v>
      </c>
      <c r="D344" t="s">
        <v>1101</v>
      </c>
      <c r="E344" t="s">
        <v>1160</v>
      </c>
      <c r="F344" t="s">
        <v>1161</v>
      </c>
      <c r="G344" t="s">
        <v>1093</v>
      </c>
      <c r="H344" t="s">
        <v>1162</v>
      </c>
      <c r="I344" t="s">
        <v>1163</v>
      </c>
      <c r="J344" t="s">
        <v>28</v>
      </c>
      <c r="K344" t="s">
        <v>1042</v>
      </c>
      <c r="L344" t="s">
        <v>30</v>
      </c>
      <c r="M344" s="2" t="s">
        <v>30</v>
      </c>
    </row>
    <row r="345" spans="1:18" x14ac:dyDescent="0.25">
      <c r="A345" t="s">
        <v>1089</v>
      </c>
      <c r="B345" t="s">
        <v>1089</v>
      </c>
      <c r="C345" t="s">
        <v>1159</v>
      </c>
      <c r="D345" t="s">
        <v>1101</v>
      </c>
      <c r="E345" t="s">
        <v>1160</v>
      </c>
      <c r="F345" t="s">
        <v>1161</v>
      </c>
      <c r="G345" t="s">
        <v>1093</v>
      </c>
      <c r="H345" t="s">
        <v>1164</v>
      </c>
      <c r="I345" t="s">
        <v>1165</v>
      </c>
      <c r="J345" t="s">
        <v>28</v>
      </c>
      <c r="K345" t="s">
        <v>1125</v>
      </c>
      <c r="L345" t="s">
        <v>30</v>
      </c>
      <c r="M345" s="2" t="s">
        <v>30</v>
      </c>
      <c r="O345" t="s">
        <v>1166</v>
      </c>
      <c r="R345" t="s">
        <v>1125</v>
      </c>
    </row>
    <row r="346" spans="1:18" x14ac:dyDescent="0.25">
      <c r="A346" t="s">
        <v>1089</v>
      </c>
      <c r="B346" t="s">
        <v>1089</v>
      </c>
      <c r="C346" t="s">
        <v>1159</v>
      </c>
      <c r="D346" t="s">
        <v>1101</v>
      </c>
      <c r="E346" t="s">
        <v>1160</v>
      </c>
      <c r="F346" t="s">
        <v>1161</v>
      </c>
      <c r="G346" t="s">
        <v>1093</v>
      </c>
      <c r="H346" t="s">
        <v>1167</v>
      </c>
      <c r="I346" t="s">
        <v>1168</v>
      </c>
      <c r="J346" t="s">
        <v>28</v>
      </c>
      <c r="K346" t="s">
        <v>723</v>
      </c>
      <c r="L346" t="s">
        <v>30</v>
      </c>
      <c r="M346" s="2" t="s">
        <v>30</v>
      </c>
      <c r="O346" t="s">
        <v>1169</v>
      </c>
      <c r="R346" t="s">
        <v>1125</v>
      </c>
    </row>
    <row r="347" spans="1:18" x14ac:dyDescent="0.25">
      <c r="A347" t="s">
        <v>1089</v>
      </c>
      <c r="B347" t="s">
        <v>1089</v>
      </c>
      <c r="C347" t="s">
        <v>1159</v>
      </c>
      <c r="D347" t="s">
        <v>1101</v>
      </c>
      <c r="E347" t="s">
        <v>1160</v>
      </c>
      <c r="F347" t="s">
        <v>1161</v>
      </c>
      <c r="G347" t="s">
        <v>1093</v>
      </c>
      <c r="H347" t="s">
        <v>1170</v>
      </c>
      <c r="I347" t="s">
        <v>1171</v>
      </c>
      <c r="J347" t="s">
        <v>28</v>
      </c>
      <c r="K347" t="s">
        <v>1042</v>
      </c>
      <c r="L347" t="s">
        <v>30</v>
      </c>
      <c r="M347" s="2" t="s">
        <v>30</v>
      </c>
    </row>
    <row r="348" spans="1:18" x14ac:dyDescent="0.25">
      <c r="A348" t="s">
        <v>1089</v>
      </c>
      <c r="B348" t="s">
        <v>1089</v>
      </c>
      <c r="C348" t="s">
        <v>1172</v>
      </c>
      <c r="D348" t="s">
        <v>1101</v>
      </c>
      <c r="E348" t="s">
        <v>1173</v>
      </c>
      <c r="F348" t="s">
        <v>1119</v>
      </c>
      <c r="G348" t="s">
        <v>1093</v>
      </c>
      <c r="H348" t="s">
        <v>1174</v>
      </c>
      <c r="I348" t="s">
        <v>1175</v>
      </c>
      <c r="J348" t="s">
        <v>28</v>
      </c>
      <c r="K348" t="s">
        <v>1042</v>
      </c>
      <c r="L348" t="s">
        <v>30</v>
      </c>
      <c r="M348" s="2" t="s">
        <v>30</v>
      </c>
    </row>
    <row r="349" spans="1:18" x14ac:dyDescent="0.25">
      <c r="A349" t="s">
        <v>1089</v>
      </c>
      <c r="B349" t="s">
        <v>1089</v>
      </c>
      <c r="C349" t="s">
        <v>1172</v>
      </c>
      <c r="D349" t="s">
        <v>1101</v>
      </c>
      <c r="E349" t="s">
        <v>1173</v>
      </c>
      <c r="F349" t="s">
        <v>1119</v>
      </c>
      <c r="G349" t="s">
        <v>1093</v>
      </c>
      <c r="H349" t="s">
        <v>1176</v>
      </c>
      <c r="I349" t="s">
        <v>1177</v>
      </c>
      <c r="J349" t="s">
        <v>28</v>
      </c>
      <c r="K349" t="s">
        <v>36</v>
      </c>
      <c r="L349" t="s">
        <v>52</v>
      </c>
      <c r="M349" s="3" t="s">
        <v>52</v>
      </c>
      <c r="O349" t="s">
        <v>1178</v>
      </c>
      <c r="R349" t="s">
        <v>1125</v>
      </c>
    </row>
    <row r="350" spans="1:18" x14ac:dyDescent="0.25">
      <c r="A350" t="s">
        <v>1089</v>
      </c>
      <c r="B350" t="s">
        <v>1089</v>
      </c>
      <c r="C350" t="s">
        <v>1172</v>
      </c>
      <c r="D350" t="s">
        <v>1101</v>
      </c>
      <c r="E350" t="s">
        <v>1173</v>
      </c>
      <c r="F350" t="s">
        <v>1119</v>
      </c>
      <c r="G350" t="s">
        <v>1093</v>
      </c>
      <c r="H350" t="s">
        <v>1179</v>
      </c>
      <c r="I350" t="s">
        <v>1180</v>
      </c>
      <c r="J350" t="s">
        <v>28</v>
      </c>
      <c r="K350" t="s">
        <v>723</v>
      </c>
      <c r="L350" t="s">
        <v>30</v>
      </c>
      <c r="M350" s="2" t="s">
        <v>30</v>
      </c>
      <c r="O350" t="s">
        <v>1181</v>
      </c>
      <c r="R350" t="s">
        <v>1125</v>
      </c>
    </row>
    <row r="351" spans="1:18" x14ac:dyDescent="0.25">
      <c r="A351" t="s">
        <v>1089</v>
      </c>
      <c r="B351" t="s">
        <v>1089</v>
      </c>
      <c r="C351" t="s">
        <v>1172</v>
      </c>
      <c r="D351" t="s">
        <v>1101</v>
      </c>
      <c r="E351" t="s">
        <v>1173</v>
      </c>
      <c r="F351" t="s">
        <v>1119</v>
      </c>
      <c r="G351" t="s">
        <v>1093</v>
      </c>
      <c r="H351" t="s">
        <v>1182</v>
      </c>
      <c r="I351" t="s">
        <v>1183</v>
      </c>
      <c r="J351" t="s">
        <v>28</v>
      </c>
      <c r="K351" t="s">
        <v>723</v>
      </c>
      <c r="L351" t="s">
        <v>30</v>
      </c>
      <c r="M351" s="2" t="s">
        <v>30</v>
      </c>
      <c r="O351" t="s">
        <v>951</v>
      </c>
      <c r="R351" t="s">
        <v>1125</v>
      </c>
    </row>
    <row r="352" spans="1:18" x14ac:dyDescent="0.25">
      <c r="A352" t="s">
        <v>1089</v>
      </c>
      <c r="B352" t="s">
        <v>1089</v>
      </c>
      <c r="C352" t="s">
        <v>1172</v>
      </c>
      <c r="D352" t="s">
        <v>1101</v>
      </c>
      <c r="E352" t="s">
        <v>1173</v>
      </c>
      <c r="F352" t="s">
        <v>1119</v>
      </c>
      <c r="G352" t="s">
        <v>1093</v>
      </c>
      <c r="H352" t="s">
        <v>1184</v>
      </c>
      <c r="I352" t="s">
        <v>1185</v>
      </c>
      <c r="J352" t="s">
        <v>28</v>
      </c>
      <c r="K352" t="s">
        <v>1042</v>
      </c>
      <c r="L352" t="s">
        <v>52</v>
      </c>
      <c r="M352" s="3" t="s">
        <v>52</v>
      </c>
      <c r="N352" t="s">
        <v>3512</v>
      </c>
      <c r="O352" t="s">
        <v>183</v>
      </c>
    </row>
    <row r="353" spans="1:18" x14ac:dyDescent="0.25">
      <c r="A353" t="s">
        <v>1089</v>
      </c>
      <c r="B353" t="s">
        <v>1089</v>
      </c>
      <c r="C353" t="s">
        <v>1186</v>
      </c>
      <c r="D353" t="s">
        <v>1187</v>
      </c>
      <c r="E353" t="s">
        <v>1188</v>
      </c>
      <c r="F353" t="s">
        <v>1189</v>
      </c>
      <c r="G353" t="s">
        <v>756</v>
      </c>
      <c r="H353" t="s">
        <v>1190</v>
      </c>
      <c r="I353" t="s">
        <v>1191</v>
      </c>
      <c r="J353" t="s">
        <v>28</v>
      </c>
      <c r="K353" t="s">
        <v>36</v>
      </c>
      <c r="L353" t="s">
        <v>30</v>
      </c>
      <c r="M353" s="2" t="s">
        <v>30</v>
      </c>
      <c r="O353" t="s">
        <v>1192</v>
      </c>
      <c r="R353" t="s">
        <v>1193</v>
      </c>
    </row>
    <row r="354" spans="1:18" x14ac:dyDescent="0.25">
      <c r="A354" t="s">
        <v>1089</v>
      </c>
      <c r="B354" t="s">
        <v>1089</v>
      </c>
      <c r="C354" t="s">
        <v>1186</v>
      </c>
      <c r="D354" t="s">
        <v>1187</v>
      </c>
      <c r="E354" t="s">
        <v>1188</v>
      </c>
      <c r="F354" t="s">
        <v>1189</v>
      </c>
      <c r="G354" t="s">
        <v>756</v>
      </c>
      <c r="H354" t="s">
        <v>1194</v>
      </c>
      <c r="I354" t="s">
        <v>1195</v>
      </c>
      <c r="J354" t="s">
        <v>28</v>
      </c>
      <c r="K354" t="s">
        <v>1042</v>
      </c>
      <c r="L354" t="s">
        <v>52</v>
      </c>
      <c r="M354" s="3" t="s">
        <v>52</v>
      </c>
      <c r="O354" t="s">
        <v>1196</v>
      </c>
    </row>
    <row r="355" spans="1:18" x14ac:dyDescent="0.25">
      <c r="A355" t="s">
        <v>1089</v>
      </c>
      <c r="B355" t="s">
        <v>1089</v>
      </c>
      <c r="C355" t="s">
        <v>1186</v>
      </c>
      <c r="D355" t="s">
        <v>1187</v>
      </c>
      <c r="E355" t="s">
        <v>1188</v>
      </c>
      <c r="F355" t="s">
        <v>1189</v>
      </c>
      <c r="G355" t="s">
        <v>756</v>
      </c>
      <c r="H355" t="s">
        <v>1197</v>
      </c>
      <c r="I355" t="s">
        <v>1198</v>
      </c>
      <c r="J355" t="s">
        <v>28</v>
      </c>
      <c r="K355" t="s">
        <v>1042</v>
      </c>
      <c r="L355" t="s">
        <v>30</v>
      </c>
      <c r="M355" s="2" t="s">
        <v>30</v>
      </c>
    </row>
    <row r="356" spans="1:18" x14ac:dyDescent="0.25">
      <c r="A356" t="s">
        <v>1089</v>
      </c>
      <c r="B356" t="s">
        <v>1089</v>
      </c>
      <c r="C356" t="s">
        <v>1186</v>
      </c>
      <c r="D356" t="s">
        <v>1187</v>
      </c>
      <c r="E356" t="s">
        <v>1188</v>
      </c>
      <c r="F356" t="s">
        <v>1189</v>
      </c>
      <c r="G356" t="s">
        <v>756</v>
      </c>
      <c r="H356" t="s">
        <v>1199</v>
      </c>
      <c r="I356" t="s">
        <v>1200</v>
      </c>
      <c r="J356" t="s">
        <v>28</v>
      </c>
      <c r="K356" t="s">
        <v>1042</v>
      </c>
      <c r="L356" t="s">
        <v>52</v>
      </c>
      <c r="M356" s="3" t="s">
        <v>52</v>
      </c>
      <c r="N356" t="s">
        <v>3509</v>
      </c>
      <c r="O356" t="s">
        <v>183</v>
      </c>
    </row>
    <row r="357" spans="1:18" x14ac:dyDescent="0.25">
      <c r="A357" t="s">
        <v>1089</v>
      </c>
      <c r="B357" t="s">
        <v>1089</v>
      </c>
      <c r="C357" t="s">
        <v>1201</v>
      </c>
      <c r="D357" t="s">
        <v>1101</v>
      </c>
      <c r="E357" t="s">
        <v>1202</v>
      </c>
      <c r="F357" t="s">
        <v>1203</v>
      </c>
      <c r="G357" t="s">
        <v>756</v>
      </c>
      <c r="H357" t="s">
        <v>1204</v>
      </c>
      <c r="I357" t="s">
        <v>1205</v>
      </c>
      <c r="J357" t="s">
        <v>28</v>
      </c>
      <c r="K357" t="s">
        <v>1135</v>
      </c>
      <c r="L357" t="s">
        <v>52</v>
      </c>
      <c r="M357" s="3" t="s">
        <v>52</v>
      </c>
      <c r="O357" t="s">
        <v>1196</v>
      </c>
    </row>
    <row r="358" spans="1:18" x14ac:dyDescent="0.25">
      <c r="A358" t="s">
        <v>1089</v>
      </c>
      <c r="B358" t="s">
        <v>1089</v>
      </c>
      <c r="C358" t="s">
        <v>1201</v>
      </c>
      <c r="D358" t="s">
        <v>1101</v>
      </c>
      <c r="E358" t="s">
        <v>1202</v>
      </c>
      <c r="F358" t="s">
        <v>1203</v>
      </c>
      <c r="G358" t="s">
        <v>756</v>
      </c>
      <c r="H358" t="s">
        <v>1206</v>
      </c>
      <c r="I358" t="s">
        <v>1207</v>
      </c>
      <c r="J358" t="s">
        <v>28</v>
      </c>
      <c r="K358" t="s">
        <v>1135</v>
      </c>
      <c r="L358" t="s">
        <v>52</v>
      </c>
      <c r="M358" s="3" t="s">
        <v>52</v>
      </c>
      <c r="O358" t="s">
        <v>1196</v>
      </c>
    </row>
    <row r="359" spans="1:18" x14ac:dyDescent="0.25">
      <c r="A359" t="s">
        <v>1089</v>
      </c>
      <c r="B359" t="s">
        <v>1089</v>
      </c>
      <c r="C359" t="s">
        <v>1201</v>
      </c>
      <c r="D359" t="s">
        <v>1101</v>
      </c>
      <c r="E359" t="s">
        <v>1202</v>
      </c>
      <c r="F359" t="s">
        <v>1203</v>
      </c>
      <c r="G359" t="s">
        <v>756</v>
      </c>
      <c r="H359" t="s">
        <v>1208</v>
      </c>
      <c r="I359" t="s">
        <v>1209</v>
      </c>
      <c r="J359" t="s">
        <v>28</v>
      </c>
      <c r="K359" t="s">
        <v>1135</v>
      </c>
      <c r="L359" t="s">
        <v>52</v>
      </c>
      <c r="M359" s="3" t="s">
        <v>52</v>
      </c>
      <c r="O359" t="s">
        <v>1196</v>
      </c>
    </row>
    <row r="360" spans="1:18" x14ac:dyDescent="0.25">
      <c r="A360" t="s">
        <v>1089</v>
      </c>
      <c r="B360" t="s">
        <v>1089</v>
      </c>
      <c r="C360" t="s">
        <v>1201</v>
      </c>
      <c r="D360" t="s">
        <v>1101</v>
      </c>
      <c r="E360" t="s">
        <v>1202</v>
      </c>
      <c r="F360" t="s">
        <v>1203</v>
      </c>
      <c r="G360" t="s">
        <v>756</v>
      </c>
      <c r="H360" t="s">
        <v>1210</v>
      </c>
      <c r="I360" t="s">
        <v>1211</v>
      </c>
      <c r="J360" t="s">
        <v>28</v>
      </c>
      <c r="K360" t="s">
        <v>1135</v>
      </c>
      <c r="L360" t="s">
        <v>52</v>
      </c>
      <c r="M360" s="3" t="s">
        <v>52</v>
      </c>
      <c r="O360" t="s">
        <v>1196</v>
      </c>
    </row>
    <row r="361" spans="1:18" x14ac:dyDescent="0.25">
      <c r="A361" t="s">
        <v>1089</v>
      </c>
      <c r="B361" t="s">
        <v>1089</v>
      </c>
      <c r="C361" t="s">
        <v>1212</v>
      </c>
      <c r="D361" t="s">
        <v>1101</v>
      </c>
      <c r="E361" t="s">
        <v>1213</v>
      </c>
      <c r="F361" t="s">
        <v>1214</v>
      </c>
      <c r="G361" t="s">
        <v>756</v>
      </c>
      <c r="H361" t="s">
        <v>1215</v>
      </c>
      <c r="I361" t="s">
        <v>1216</v>
      </c>
      <c r="J361" t="s">
        <v>28</v>
      </c>
      <c r="K361" t="s">
        <v>124</v>
      </c>
      <c r="L361" t="s">
        <v>30</v>
      </c>
      <c r="M361" s="2" t="s">
        <v>30</v>
      </c>
    </row>
    <row r="362" spans="1:18" x14ac:dyDescent="0.25">
      <c r="A362" t="s">
        <v>1089</v>
      </c>
      <c r="B362" t="s">
        <v>1089</v>
      </c>
      <c r="C362" t="s">
        <v>1212</v>
      </c>
      <c r="D362" t="s">
        <v>1101</v>
      </c>
      <c r="E362" t="s">
        <v>1213</v>
      </c>
      <c r="F362" t="s">
        <v>1214</v>
      </c>
      <c r="G362" t="s">
        <v>756</v>
      </c>
      <c r="H362" t="s">
        <v>1217</v>
      </c>
      <c r="I362" t="s">
        <v>1218</v>
      </c>
      <c r="J362" t="s">
        <v>28</v>
      </c>
      <c r="K362" t="s">
        <v>124</v>
      </c>
      <c r="L362" t="s">
        <v>30</v>
      </c>
      <c r="M362" s="2" t="s">
        <v>30</v>
      </c>
    </row>
    <row r="363" spans="1:18" x14ac:dyDescent="0.25">
      <c r="A363" t="s">
        <v>1089</v>
      </c>
      <c r="B363" t="s">
        <v>1089</v>
      </c>
      <c r="C363" t="s">
        <v>1212</v>
      </c>
      <c r="D363" t="s">
        <v>1101</v>
      </c>
      <c r="E363" t="s">
        <v>1213</v>
      </c>
      <c r="F363" t="s">
        <v>1214</v>
      </c>
      <c r="G363" t="s">
        <v>756</v>
      </c>
      <c r="H363" t="s">
        <v>1219</v>
      </c>
      <c r="I363" t="s">
        <v>1220</v>
      </c>
      <c r="J363" t="s">
        <v>28</v>
      </c>
      <c r="K363" t="s">
        <v>124</v>
      </c>
      <c r="L363" t="s">
        <v>52</v>
      </c>
      <c r="M363" s="3" t="s">
        <v>52</v>
      </c>
    </row>
    <row r="364" spans="1:18" x14ac:dyDescent="0.25">
      <c r="A364" t="s">
        <v>1089</v>
      </c>
      <c r="B364" t="s">
        <v>1089</v>
      </c>
      <c r="C364" t="s">
        <v>1212</v>
      </c>
      <c r="D364" t="s">
        <v>1101</v>
      </c>
      <c r="E364" t="s">
        <v>1213</v>
      </c>
      <c r="F364" t="s">
        <v>1214</v>
      </c>
      <c r="G364" t="s">
        <v>756</v>
      </c>
      <c r="H364" t="s">
        <v>1221</v>
      </c>
      <c r="I364" t="s">
        <v>1222</v>
      </c>
      <c r="J364" t="s">
        <v>28</v>
      </c>
      <c r="K364" t="s">
        <v>124</v>
      </c>
      <c r="L364" t="s">
        <v>30</v>
      </c>
      <c r="M364" s="2" t="s">
        <v>30</v>
      </c>
    </row>
    <row r="365" spans="1:18" x14ac:dyDescent="0.25">
      <c r="A365" t="s">
        <v>1089</v>
      </c>
      <c r="B365" t="s">
        <v>1089</v>
      </c>
      <c r="C365" t="s">
        <v>1212</v>
      </c>
      <c r="D365" t="s">
        <v>1101</v>
      </c>
      <c r="E365" t="s">
        <v>1213</v>
      </c>
      <c r="F365" t="s">
        <v>1214</v>
      </c>
      <c r="G365" t="s">
        <v>756</v>
      </c>
      <c r="H365" t="s">
        <v>1223</v>
      </c>
      <c r="I365" t="s">
        <v>1224</v>
      </c>
      <c r="J365" t="s">
        <v>28</v>
      </c>
      <c r="K365" t="s">
        <v>124</v>
      </c>
      <c r="L365" t="s">
        <v>30</v>
      </c>
      <c r="M365" s="2" t="s">
        <v>30</v>
      </c>
    </row>
    <row r="366" spans="1:18" x14ac:dyDescent="0.25">
      <c r="A366" t="s">
        <v>1089</v>
      </c>
      <c r="B366" t="s">
        <v>1089</v>
      </c>
      <c r="C366" t="s">
        <v>1225</v>
      </c>
      <c r="D366" t="s">
        <v>1091</v>
      </c>
      <c r="E366" t="s">
        <v>1226</v>
      </c>
      <c r="F366" t="s">
        <v>1089</v>
      </c>
      <c r="G366" t="s">
        <v>1093</v>
      </c>
      <c r="H366" t="s">
        <v>1227</v>
      </c>
      <c r="I366" t="s">
        <v>1228</v>
      </c>
      <c r="J366" t="s">
        <v>28</v>
      </c>
      <c r="K366" t="s">
        <v>723</v>
      </c>
      <c r="L366" t="s">
        <v>30</v>
      </c>
      <c r="M366" s="2" t="s">
        <v>30</v>
      </c>
      <c r="O366" t="s">
        <v>1229</v>
      </c>
      <c r="R366" t="s">
        <v>1125</v>
      </c>
    </row>
    <row r="367" spans="1:18" x14ac:dyDescent="0.25">
      <c r="A367" t="s">
        <v>1089</v>
      </c>
      <c r="B367" t="s">
        <v>1089</v>
      </c>
      <c r="C367" t="s">
        <v>1225</v>
      </c>
      <c r="D367" t="s">
        <v>1091</v>
      </c>
      <c r="E367" t="s">
        <v>1226</v>
      </c>
      <c r="F367" t="s">
        <v>1089</v>
      </c>
      <c r="G367" t="s">
        <v>1093</v>
      </c>
      <c r="H367" t="s">
        <v>1230</v>
      </c>
      <c r="I367" t="s">
        <v>1231</v>
      </c>
      <c r="J367" t="s">
        <v>28</v>
      </c>
      <c r="K367" t="s">
        <v>723</v>
      </c>
      <c r="L367" t="s">
        <v>30</v>
      </c>
      <c r="M367" s="2" t="s">
        <v>30</v>
      </c>
      <c r="O367" t="s">
        <v>1229</v>
      </c>
      <c r="R367" t="s">
        <v>1125</v>
      </c>
    </row>
    <row r="368" spans="1:18" x14ac:dyDescent="0.25">
      <c r="A368" t="s">
        <v>1089</v>
      </c>
      <c r="B368" t="s">
        <v>1089</v>
      </c>
      <c r="C368" t="s">
        <v>3159</v>
      </c>
      <c r="D368" t="s">
        <v>1091</v>
      </c>
      <c r="E368" t="s">
        <v>1232</v>
      </c>
      <c r="F368" t="s">
        <v>1089</v>
      </c>
      <c r="G368" t="s">
        <v>1233</v>
      </c>
      <c r="H368" t="s">
        <v>1234</v>
      </c>
      <c r="I368" t="s">
        <v>1235</v>
      </c>
      <c r="J368" t="s">
        <v>28</v>
      </c>
      <c r="K368" t="s">
        <v>1135</v>
      </c>
      <c r="L368" t="s">
        <v>30</v>
      </c>
      <c r="M368" s="2" t="s">
        <v>30</v>
      </c>
    </row>
    <row r="369" spans="1:18" x14ac:dyDescent="0.25">
      <c r="A369" t="s">
        <v>1089</v>
      </c>
      <c r="B369" t="s">
        <v>1089</v>
      </c>
      <c r="C369" t="s">
        <v>3159</v>
      </c>
      <c r="D369" t="s">
        <v>1091</v>
      </c>
      <c r="E369" t="s">
        <v>1232</v>
      </c>
      <c r="F369" t="s">
        <v>1089</v>
      </c>
      <c r="G369" t="s">
        <v>1233</v>
      </c>
      <c r="H369" t="s">
        <v>1236</v>
      </c>
      <c r="I369" t="s">
        <v>1237</v>
      </c>
      <c r="J369" t="s">
        <v>28</v>
      </c>
      <c r="K369" t="s">
        <v>1135</v>
      </c>
      <c r="L369" t="s">
        <v>181</v>
      </c>
      <c r="M369" s="4" t="s">
        <v>182</v>
      </c>
      <c r="N369" t="s">
        <v>3514</v>
      </c>
      <c r="O369" t="s">
        <v>183</v>
      </c>
    </row>
    <row r="370" spans="1:18" x14ac:dyDescent="0.25">
      <c r="A370" t="s">
        <v>1089</v>
      </c>
      <c r="B370" t="s">
        <v>1089</v>
      </c>
      <c r="C370" t="s">
        <v>3159</v>
      </c>
      <c r="D370" t="s">
        <v>1091</v>
      </c>
      <c r="E370" t="s">
        <v>1232</v>
      </c>
      <c r="F370" t="s">
        <v>1089</v>
      </c>
      <c r="G370" t="s">
        <v>1233</v>
      </c>
      <c r="H370" t="s">
        <v>1238</v>
      </c>
      <c r="I370" t="s">
        <v>1239</v>
      </c>
      <c r="J370" t="s">
        <v>28</v>
      </c>
      <c r="K370" t="s">
        <v>1135</v>
      </c>
      <c r="L370" t="s">
        <v>30</v>
      </c>
      <c r="M370" s="2" t="s">
        <v>30</v>
      </c>
    </row>
    <row r="371" spans="1:18" x14ac:dyDescent="0.25">
      <c r="A371" t="s">
        <v>1089</v>
      </c>
      <c r="B371" t="s">
        <v>1089</v>
      </c>
      <c r="C371" t="s">
        <v>1240</v>
      </c>
      <c r="D371" t="s">
        <v>1091</v>
      </c>
      <c r="E371" t="s">
        <v>1241</v>
      </c>
      <c r="F371" t="s">
        <v>1089</v>
      </c>
      <c r="G371" t="s">
        <v>1242</v>
      </c>
      <c r="H371" t="s">
        <v>1243</v>
      </c>
      <c r="I371" t="s">
        <v>1244</v>
      </c>
      <c r="J371" t="s">
        <v>28</v>
      </c>
      <c r="K371" t="s">
        <v>439</v>
      </c>
      <c r="L371" t="s">
        <v>30</v>
      </c>
      <c r="M371" s="2" t="s">
        <v>30</v>
      </c>
      <c r="O371" t="s">
        <v>1245</v>
      </c>
      <c r="R371" t="s">
        <v>439</v>
      </c>
    </row>
    <row r="372" spans="1:18" x14ac:dyDescent="0.25">
      <c r="A372" t="s">
        <v>1246</v>
      </c>
      <c r="B372" t="s">
        <v>1246</v>
      </c>
      <c r="C372" t="s">
        <v>1247</v>
      </c>
      <c r="D372" t="s">
        <v>603</v>
      </c>
      <c r="E372" t="s">
        <v>1248</v>
      </c>
      <c r="F372" t="s">
        <v>1246</v>
      </c>
      <c r="G372" t="s">
        <v>756</v>
      </c>
      <c r="H372" t="s">
        <v>1249</v>
      </c>
      <c r="I372" t="s">
        <v>1250</v>
      </c>
      <c r="J372" t="s">
        <v>28</v>
      </c>
      <c r="K372" t="s">
        <v>975</v>
      </c>
      <c r="L372" t="s">
        <v>30</v>
      </c>
      <c r="M372" s="2" t="s">
        <v>30</v>
      </c>
    </row>
    <row r="373" spans="1:18" x14ac:dyDescent="0.25">
      <c r="A373" t="s">
        <v>1246</v>
      </c>
      <c r="B373" t="s">
        <v>1246</v>
      </c>
      <c r="C373" t="s">
        <v>1247</v>
      </c>
      <c r="D373" t="s">
        <v>603</v>
      </c>
      <c r="E373" t="s">
        <v>1251</v>
      </c>
      <c r="F373" t="s">
        <v>1246</v>
      </c>
      <c r="G373" t="s">
        <v>756</v>
      </c>
      <c r="H373" t="s">
        <v>1252</v>
      </c>
      <c r="I373" t="s">
        <v>1253</v>
      </c>
      <c r="J373" t="s">
        <v>28</v>
      </c>
      <c r="K373" t="s">
        <v>975</v>
      </c>
      <c r="L373" t="s">
        <v>30</v>
      </c>
      <c r="M373" s="2" t="s">
        <v>30</v>
      </c>
    </row>
    <row r="374" spans="1:18" x14ac:dyDescent="0.25">
      <c r="A374" t="s">
        <v>1246</v>
      </c>
      <c r="B374" t="s">
        <v>1246</v>
      </c>
      <c r="C374" t="s">
        <v>1247</v>
      </c>
      <c r="D374" t="s">
        <v>603</v>
      </c>
      <c r="E374" t="s">
        <v>1251</v>
      </c>
      <c r="F374" t="s">
        <v>1246</v>
      </c>
      <c r="G374" t="s">
        <v>756</v>
      </c>
      <c r="H374" t="s">
        <v>1254</v>
      </c>
      <c r="I374" t="s">
        <v>1255</v>
      </c>
      <c r="J374" t="s">
        <v>28</v>
      </c>
      <c r="K374" t="s">
        <v>975</v>
      </c>
      <c r="L374" t="s">
        <v>30</v>
      </c>
      <c r="M374" s="2" t="s">
        <v>30</v>
      </c>
    </row>
    <row r="375" spans="1:18" x14ac:dyDescent="0.25">
      <c r="A375" t="s">
        <v>1246</v>
      </c>
      <c r="B375" t="s">
        <v>1246</v>
      </c>
      <c r="C375" t="s">
        <v>1256</v>
      </c>
      <c r="D375" t="s">
        <v>707</v>
      </c>
      <c r="E375" t="s">
        <v>1257</v>
      </c>
      <c r="F375" t="s">
        <v>1246</v>
      </c>
      <c r="G375" t="s">
        <v>756</v>
      </c>
      <c r="H375" t="s">
        <v>1258</v>
      </c>
      <c r="I375" t="s">
        <v>1259</v>
      </c>
      <c r="J375" t="s">
        <v>28</v>
      </c>
      <c r="L375" t="s">
        <v>52</v>
      </c>
      <c r="M375" s="3" t="s">
        <v>52</v>
      </c>
    </row>
    <row r="376" spans="1:18" x14ac:dyDescent="0.25">
      <c r="A376" t="s">
        <v>1246</v>
      </c>
      <c r="B376" t="s">
        <v>1246</v>
      </c>
      <c r="C376" t="s">
        <v>1260</v>
      </c>
      <c r="D376" t="s">
        <v>707</v>
      </c>
      <c r="E376" t="s">
        <v>1261</v>
      </c>
      <c r="F376" t="s">
        <v>1246</v>
      </c>
      <c r="G376" t="s">
        <v>756</v>
      </c>
      <c r="H376" t="s">
        <v>1262</v>
      </c>
      <c r="I376" t="s">
        <v>1263</v>
      </c>
      <c r="J376" t="s">
        <v>28</v>
      </c>
      <c r="K376" t="s">
        <v>975</v>
      </c>
      <c r="L376" t="s">
        <v>30</v>
      </c>
      <c r="M376" s="2" t="s">
        <v>30</v>
      </c>
    </row>
    <row r="377" spans="1:18" x14ac:dyDescent="0.25">
      <c r="A377" t="s">
        <v>1246</v>
      </c>
      <c r="B377" t="s">
        <v>1246</v>
      </c>
      <c r="C377" t="s">
        <v>1260</v>
      </c>
      <c r="D377" t="s">
        <v>707</v>
      </c>
      <c r="E377" t="s">
        <v>1264</v>
      </c>
      <c r="F377" t="s">
        <v>1246</v>
      </c>
      <c r="G377" t="s">
        <v>756</v>
      </c>
      <c r="H377" t="s">
        <v>1265</v>
      </c>
      <c r="I377" t="s">
        <v>1266</v>
      </c>
      <c r="J377" t="s">
        <v>28</v>
      </c>
      <c r="K377" t="s">
        <v>975</v>
      </c>
      <c r="L377" t="s">
        <v>30</v>
      </c>
      <c r="M377" s="2" t="s">
        <v>30</v>
      </c>
    </row>
    <row r="378" spans="1:18" x14ac:dyDescent="0.25">
      <c r="A378" t="s">
        <v>1246</v>
      </c>
      <c r="B378" t="s">
        <v>1246</v>
      </c>
      <c r="C378" t="s">
        <v>1260</v>
      </c>
      <c r="D378" t="s">
        <v>707</v>
      </c>
      <c r="E378" t="s">
        <v>1264</v>
      </c>
      <c r="F378" t="s">
        <v>1246</v>
      </c>
      <c r="G378" t="s">
        <v>756</v>
      </c>
      <c r="H378" t="s">
        <v>1267</v>
      </c>
      <c r="I378" t="s">
        <v>1268</v>
      </c>
      <c r="J378" t="s">
        <v>28</v>
      </c>
      <c r="K378" t="s">
        <v>975</v>
      </c>
      <c r="L378" t="s">
        <v>30</v>
      </c>
      <c r="M378" s="2" t="s">
        <v>30</v>
      </c>
    </row>
    <row r="379" spans="1:18" x14ac:dyDescent="0.25">
      <c r="A379" t="s">
        <v>1246</v>
      </c>
      <c r="B379" t="s">
        <v>1246</v>
      </c>
      <c r="C379" t="s">
        <v>1260</v>
      </c>
      <c r="D379" t="s">
        <v>707</v>
      </c>
      <c r="E379" t="s">
        <v>1264</v>
      </c>
      <c r="F379" t="s">
        <v>1246</v>
      </c>
      <c r="G379" t="s">
        <v>756</v>
      </c>
      <c r="H379" t="s">
        <v>1269</v>
      </c>
      <c r="I379" t="s">
        <v>1270</v>
      </c>
      <c r="J379" t="s">
        <v>28</v>
      </c>
      <c r="K379" t="s">
        <v>975</v>
      </c>
      <c r="L379" t="s">
        <v>30</v>
      </c>
      <c r="M379" s="2" t="s">
        <v>30</v>
      </c>
    </row>
    <row r="380" spans="1:18" x14ac:dyDescent="0.25">
      <c r="A380" t="s">
        <v>1246</v>
      </c>
      <c r="B380" t="s">
        <v>1246</v>
      </c>
      <c r="C380" t="s">
        <v>1271</v>
      </c>
      <c r="D380" t="s">
        <v>707</v>
      </c>
      <c r="E380" t="s">
        <v>1272</v>
      </c>
      <c r="F380" t="s">
        <v>1246</v>
      </c>
      <c r="G380" t="s">
        <v>756</v>
      </c>
      <c r="H380" t="s">
        <v>1273</v>
      </c>
      <c r="I380" t="s">
        <v>1274</v>
      </c>
      <c r="J380" t="s">
        <v>28</v>
      </c>
      <c r="K380" t="s">
        <v>975</v>
      </c>
      <c r="L380" t="s">
        <v>30</v>
      </c>
      <c r="M380" s="2" t="s">
        <v>30</v>
      </c>
    </row>
    <row r="381" spans="1:18" x14ac:dyDescent="0.25">
      <c r="A381" t="s">
        <v>1246</v>
      </c>
      <c r="B381" t="s">
        <v>1246</v>
      </c>
      <c r="C381" t="s">
        <v>1271</v>
      </c>
      <c r="D381" t="s">
        <v>707</v>
      </c>
      <c r="E381" t="s">
        <v>1275</v>
      </c>
      <c r="F381" t="s">
        <v>1246</v>
      </c>
      <c r="G381" t="s">
        <v>756</v>
      </c>
      <c r="H381" t="s">
        <v>1276</v>
      </c>
      <c r="I381" t="s">
        <v>1277</v>
      </c>
      <c r="J381" t="s">
        <v>28</v>
      </c>
      <c r="K381" t="s">
        <v>975</v>
      </c>
      <c r="L381" t="s">
        <v>30</v>
      </c>
      <c r="M381" s="2" t="s">
        <v>30</v>
      </c>
    </row>
    <row r="382" spans="1:18" x14ac:dyDescent="0.25">
      <c r="A382" t="s">
        <v>1246</v>
      </c>
      <c r="B382" t="s">
        <v>1246</v>
      </c>
      <c r="C382" t="s">
        <v>1271</v>
      </c>
      <c r="D382" t="s">
        <v>707</v>
      </c>
      <c r="E382" t="s">
        <v>1275</v>
      </c>
      <c r="F382" t="s">
        <v>1246</v>
      </c>
      <c r="G382" t="s">
        <v>756</v>
      </c>
      <c r="H382" t="s">
        <v>1278</v>
      </c>
      <c r="I382" t="s">
        <v>1279</v>
      </c>
      <c r="J382" t="s">
        <v>28</v>
      </c>
      <c r="K382" t="s">
        <v>975</v>
      </c>
      <c r="L382" t="s">
        <v>30</v>
      </c>
      <c r="M382" s="2" t="s">
        <v>30</v>
      </c>
    </row>
    <row r="383" spans="1:18" x14ac:dyDescent="0.25">
      <c r="A383" t="s">
        <v>1246</v>
      </c>
      <c r="B383" t="s">
        <v>1246</v>
      </c>
      <c r="C383" t="s">
        <v>1280</v>
      </c>
      <c r="D383" t="s">
        <v>707</v>
      </c>
      <c r="E383" t="s">
        <v>1281</v>
      </c>
      <c r="F383" t="s">
        <v>1246</v>
      </c>
      <c r="G383" t="s">
        <v>756</v>
      </c>
      <c r="H383" t="s">
        <v>1282</v>
      </c>
      <c r="I383" t="s">
        <v>1283</v>
      </c>
      <c r="J383" t="s">
        <v>28</v>
      </c>
      <c r="K383" t="s">
        <v>1284</v>
      </c>
      <c r="L383" t="s">
        <v>30</v>
      </c>
      <c r="M383" s="2" t="s">
        <v>30</v>
      </c>
    </row>
    <row r="384" spans="1:18" x14ac:dyDescent="0.25">
      <c r="A384" t="s">
        <v>1246</v>
      </c>
      <c r="B384" t="s">
        <v>1246</v>
      </c>
      <c r="C384" t="s">
        <v>1280</v>
      </c>
      <c r="D384" t="s">
        <v>707</v>
      </c>
      <c r="E384" t="s">
        <v>1281</v>
      </c>
      <c r="F384" t="s">
        <v>1246</v>
      </c>
      <c r="G384" t="s">
        <v>756</v>
      </c>
      <c r="H384" t="s">
        <v>1285</v>
      </c>
      <c r="I384" t="s">
        <v>1286</v>
      </c>
      <c r="J384" t="s">
        <v>28</v>
      </c>
      <c r="K384" t="s">
        <v>1284</v>
      </c>
      <c r="L384" t="s">
        <v>30</v>
      </c>
      <c r="M384" s="2" t="s">
        <v>30</v>
      </c>
    </row>
    <row r="385" spans="1:19" x14ac:dyDescent="0.25">
      <c r="A385" t="s">
        <v>1246</v>
      </c>
      <c r="B385" t="s">
        <v>1246</v>
      </c>
      <c r="C385" t="s">
        <v>1280</v>
      </c>
      <c r="D385" t="s">
        <v>707</v>
      </c>
      <c r="E385" t="s">
        <v>1281</v>
      </c>
      <c r="F385" t="s">
        <v>1246</v>
      </c>
      <c r="G385" t="s">
        <v>756</v>
      </c>
      <c r="H385" t="s">
        <v>1287</v>
      </c>
      <c r="I385" t="s">
        <v>1288</v>
      </c>
      <c r="J385" t="s">
        <v>28</v>
      </c>
      <c r="K385" t="s">
        <v>1284</v>
      </c>
      <c r="L385" t="s">
        <v>30</v>
      </c>
      <c r="M385" s="2" t="s">
        <v>30</v>
      </c>
    </row>
    <row r="386" spans="1:19" x14ac:dyDescent="0.25">
      <c r="A386" t="s">
        <v>1246</v>
      </c>
      <c r="B386" t="s">
        <v>1246</v>
      </c>
      <c r="C386" t="s">
        <v>1280</v>
      </c>
      <c r="D386" t="s">
        <v>707</v>
      </c>
      <c r="E386" t="s">
        <v>1281</v>
      </c>
      <c r="F386" t="s">
        <v>1246</v>
      </c>
      <c r="G386" t="s">
        <v>756</v>
      </c>
      <c r="H386" t="s">
        <v>1289</v>
      </c>
      <c r="I386" t="s">
        <v>1290</v>
      </c>
      <c r="J386" t="s">
        <v>28</v>
      </c>
      <c r="K386" t="s">
        <v>1291</v>
      </c>
      <c r="L386" t="s">
        <v>30</v>
      </c>
      <c r="M386" s="2" t="s">
        <v>30</v>
      </c>
      <c r="O386" t="s">
        <v>1292</v>
      </c>
      <c r="P386" t="s">
        <v>126</v>
      </c>
      <c r="Q386" t="s">
        <v>1293</v>
      </c>
      <c r="R386" t="s">
        <v>343</v>
      </c>
    </row>
    <row r="387" spans="1:19" x14ac:dyDescent="0.25">
      <c r="A387" t="s">
        <v>1246</v>
      </c>
      <c r="B387" t="s">
        <v>1246</v>
      </c>
      <c r="C387" t="s">
        <v>1280</v>
      </c>
      <c r="D387" t="s">
        <v>707</v>
      </c>
      <c r="E387" t="s">
        <v>1281</v>
      </c>
      <c r="F387" t="s">
        <v>1246</v>
      </c>
      <c r="G387" t="s">
        <v>756</v>
      </c>
      <c r="H387" t="s">
        <v>1294</v>
      </c>
      <c r="I387" t="s">
        <v>1295</v>
      </c>
      <c r="J387" t="s">
        <v>28</v>
      </c>
      <c r="K387" t="s">
        <v>124</v>
      </c>
      <c r="L387" t="s">
        <v>30</v>
      </c>
      <c r="M387" s="2" t="s">
        <v>30</v>
      </c>
      <c r="O387" t="s">
        <v>1296</v>
      </c>
      <c r="Q387" t="s">
        <v>1297</v>
      </c>
    </row>
    <row r="388" spans="1:19" x14ac:dyDescent="0.25">
      <c r="A388" t="s">
        <v>1246</v>
      </c>
      <c r="B388" t="s">
        <v>1246</v>
      </c>
      <c r="C388" t="s">
        <v>1298</v>
      </c>
      <c r="D388" t="s">
        <v>707</v>
      </c>
      <c r="E388" t="s">
        <v>1299</v>
      </c>
      <c r="F388" t="s">
        <v>1246</v>
      </c>
      <c r="G388" t="s">
        <v>756</v>
      </c>
      <c r="H388" t="s">
        <v>1300</v>
      </c>
      <c r="I388" t="s">
        <v>1283</v>
      </c>
      <c r="J388" t="s">
        <v>28</v>
      </c>
      <c r="K388" t="s">
        <v>1284</v>
      </c>
      <c r="L388" t="s">
        <v>30</v>
      </c>
      <c r="M388" s="2" t="s">
        <v>30</v>
      </c>
    </row>
    <row r="389" spans="1:19" x14ac:dyDescent="0.25">
      <c r="A389" t="s">
        <v>1246</v>
      </c>
      <c r="B389" t="s">
        <v>1246</v>
      </c>
      <c r="C389" t="s">
        <v>1298</v>
      </c>
      <c r="D389" t="s">
        <v>707</v>
      </c>
      <c r="E389" t="s">
        <v>1299</v>
      </c>
      <c r="F389" t="s">
        <v>1246</v>
      </c>
      <c r="G389" t="s">
        <v>756</v>
      </c>
      <c r="H389" t="s">
        <v>1301</v>
      </c>
      <c r="I389" t="s">
        <v>1286</v>
      </c>
      <c r="J389" t="s">
        <v>28</v>
      </c>
      <c r="K389" t="s">
        <v>1284</v>
      </c>
      <c r="L389" t="s">
        <v>30</v>
      </c>
      <c r="M389" s="2" t="s">
        <v>30</v>
      </c>
    </row>
    <row r="390" spans="1:19" x14ac:dyDescent="0.25">
      <c r="A390" t="s">
        <v>1246</v>
      </c>
      <c r="B390" t="s">
        <v>1246</v>
      </c>
      <c r="C390" t="s">
        <v>1298</v>
      </c>
      <c r="D390" t="s">
        <v>707</v>
      </c>
      <c r="E390" t="s">
        <v>1299</v>
      </c>
      <c r="F390" t="s">
        <v>1246</v>
      </c>
      <c r="G390" t="s">
        <v>756</v>
      </c>
      <c r="H390" t="s">
        <v>1302</v>
      </c>
      <c r="I390" t="s">
        <v>1288</v>
      </c>
      <c r="J390" t="s">
        <v>28</v>
      </c>
      <c r="K390" t="s">
        <v>177</v>
      </c>
      <c r="L390" t="s">
        <v>30</v>
      </c>
      <c r="M390" s="2" t="s">
        <v>30</v>
      </c>
      <c r="O390" t="s">
        <v>1303</v>
      </c>
    </row>
    <row r="391" spans="1:19" x14ac:dyDescent="0.25">
      <c r="A391" t="s">
        <v>1246</v>
      </c>
      <c r="B391" t="s">
        <v>1246</v>
      </c>
      <c r="C391" t="s">
        <v>1298</v>
      </c>
      <c r="D391" t="s">
        <v>707</v>
      </c>
      <c r="E391" t="s">
        <v>1299</v>
      </c>
      <c r="F391" t="s">
        <v>1246</v>
      </c>
      <c r="G391" t="s">
        <v>756</v>
      </c>
      <c r="H391" t="s">
        <v>1304</v>
      </c>
      <c r="I391" t="s">
        <v>1290</v>
      </c>
      <c r="J391" t="s">
        <v>28</v>
      </c>
      <c r="K391" t="s">
        <v>177</v>
      </c>
      <c r="L391" t="s">
        <v>30</v>
      </c>
      <c r="M391" s="2" t="s">
        <v>30</v>
      </c>
      <c r="O391" t="s">
        <v>1303</v>
      </c>
      <c r="S391" t="s">
        <v>1305</v>
      </c>
    </row>
    <row r="392" spans="1:19" x14ac:dyDescent="0.25">
      <c r="A392" t="s">
        <v>1246</v>
      </c>
      <c r="B392" t="s">
        <v>1246</v>
      </c>
      <c r="C392" t="s">
        <v>1298</v>
      </c>
      <c r="D392" t="s">
        <v>707</v>
      </c>
      <c r="E392" t="s">
        <v>1299</v>
      </c>
      <c r="F392" t="s">
        <v>1246</v>
      </c>
      <c r="G392" t="s">
        <v>756</v>
      </c>
      <c r="H392" t="s">
        <v>1306</v>
      </c>
      <c r="I392" t="s">
        <v>1295</v>
      </c>
      <c r="J392" t="s">
        <v>28</v>
      </c>
      <c r="K392" t="s">
        <v>177</v>
      </c>
      <c r="L392" t="s">
        <v>30</v>
      </c>
      <c r="M392" s="2" t="s">
        <v>30</v>
      </c>
      <c r="O392" t="s">
        <v>1307</v>
      </c>
    </row>
    <row r="393" spans="1:19" x14ac:dyDescent="0.25">
      <c r="A393" t="s">
        <v>1246</v>
      </c>
      <c r="B393" t="s">
        <v>1246</v>
      </c>
      <c r="C393" t="s">
        <v>1308</v>
      </c>
      <c r="D393" t="s">
        <v>707</v>
      </c>
      <c r="E393" t="s">
        <v>1309</v>
      </c>
      <c r="F393" t="s">
        <v>1246</v>
      </c>
      <c r="G393" t="s">
        <v>115</v>
      </c>
      <c r="H393" t="s">
        <v>1310</v>
      </c>
      <c r="I393" t="s">
        <v>1311</v>
      </c>
      <c r="J393" t="s">
        <v>28</v>
      </c>
      <c r="K393" t="s">
        <v>1284</v>
      </c>
      <c r="L393" t="s">
        <v>30</v>
      </c>
      <c r="M393" s="2" t="s">
        <v>30</v>
      </c>
    </row>
    <row r="394" spans="1:19" x14ac:dyDescent="0.25">
      <c r="A394" t="s">
        <v>1246</v>
      </c>
      <c r="B394" t="s">
        <v>1246</v>
      </c>
      <c r="C394" t="s">
        <v>1308</v>
      </c>
      <c r="D394" t="s">
        <v>707</v>
      </c>
      <c r="E394" t="s">
        <v>1309</v>
      </c>
      <c r="F394" t="s">
        <v>1246</v>
      </c>
      <c r="G394" t="s">
        <v>115</v>
      </c>
      <c r="H394" t="s">
        <v>1312</v>
      </c>
      <c r="I394" t="s">
        <v>1313</v>
      </c>
      <c r="J394" t="s">
        <v>28</v>
      </c>
      <c r="K394" t="s">
        <v>1284</v>
      </c>
      <c r="L394" t="s">
        <v>30</v>
      </c>
      <c r="M394" s="2" t="s">
        <v>30</v>
      </c>
    </row>
    <row r="395" spans="1:19" x14ac:dyDescent="0.25">
      <c r="A395" t="s">
        <v>1246</v>
      </c>
      <c r="B395" t="s">
        <v>1246</v>
      </c>
      <c r="C395" t="s">
        <v>1308</v>
      </c>
      <c r="D395" t="s">
        <v>707</v>
      </c>
      <c r="E395" t="s">
        <v>1309</v>
      </c>
      <c r="F395" t="s">
        <v>1246</v>
      </c>
      <c r="G395" t="s">
        <v>115</v>
      </c>
      <c r="H395" t="s">
        <v>1314</v>
      </c>
      <c r="I395" t="s">
        <v>1315</v>
      </c>
      <c r="J395" t="s">
        <v>28</v>
      </c>
      <c r="K395" t="s">
        <v>1284</v>
      </c>
      <c r="L395" t="s">
        <v>30</v>
      </c>
      <c r="M395" s="2" t="s">
        <v>30</v>
      </c>
    </row>
    <row r="396" spans="1:19" x14ac:dyDescent="0.25">
      <c r="A396" t="s">
        <v>1246</v>
      </c>
      <c r="B396" t="s">
        <v>1246</v>
      </c>
      <c r="C396" t="s">
        <v>1308</v>
      </c>
      <c r="D396" t="s">
        <v>707</v>
      </c>
      <c r="E396" t="s">
        <v>1309</v>
      </c>
      <c r="F396" t="s">
        <v>1246</v>
      </c>
      <c r="G396" t="s">
        <v>115</v>
      </c>
      <c r="H396" t="s">
        <v>1316</v>
      </c>
      <c r="I396" t="s">
        <v>1317</v>
      </c>
      <c r="J396" t="s">
        <v>28</v>
      </c>
      <c r="K396" t="s">
        <v>1284</v>
      </c>
      <c r="L396" t="s">
        <v>30</v>
      </c>
      <c r="M396" s="2" t="s">
        <v>30</v>
      </c>
    </row>
    <row r="397" spans="1:19" x14ac:dyDescent="0.25">
      <c r="A397" t="s">
        <v>1246</v>
      </c>
      <c r="B397" t="s">
        <v>1246</v>
      </c>
      <c r="C397" t="s">
        <v>1308</v>
      </c>
      <c r="D397" t="s">
        <v>707</v>
      </c>
      <c r="E397" t="s">
        <v>1309</v>
      </c>
      <c r="F397" t="s">
        <v>1246</v>
      </c>
      <c r="G397" t="s">
        <v>115</v>
      </c>
      <c r="H397" t="s">
        <v>1318</v>
      </c>
      <c r="I397" t="s">
        <v>1295</v>
      </c>
      <c r="J397" t="s">
        <v>28</v>
      </c>
      <c r="K397" t="s">
        <v>1284</v>
      </c>
      <c r="L397" t="s">
        <v>30</v>
      </c>
      <c r="M397" s="2" t="s">
        <v>30</v>
      </c>
    </row>
    <row r="398" spans="1:19" x14ac:dyDescent="0.25">
      <c r="A398" t="s">
        <v>1246</v>
      </c>
      <c r="B398" t="s">
        <v>1246</v>
      </c>
      <c r="C398" t="s">
        <v>1319</v>
      </c>
      <c r="D398" t="s">
        <v>707</v>
      </c>
      <c r="E398" t="s">
        <v>1320</v>
      </c>
      <c r="F398" t="s">
        <v>1246</v>
      </c>
      <c r="G398" t="s">
        <v>115</v>
      </c>
      <c r="H398" t="s">
        <v>1321</v>
      </c>
      <c r="I398" t="s">
        <v>1322</v>
      </c>
      <c r="J398" t="s">
        <v>28</v>
      </c>
      <c r="K398" t="s">
        <v>1284</v>
      </c>
      <c r="L398" t="s">
        <v>30</v>
      </c>
      <c r="M398" s="2" t="s">
        <v>30</v>
      </c>
    </row>
    <row r="399" spans="1:19" x14ac:dyDescent="0.25">
      <c r="A399" t="s">
        <v>1246</v>
      </c>
      <c r="B399" t="s">
        <v>1246</v>
      </c>
      <c r="C399" t="s">
        <v>1319</v>
      </c>
      <c r="D399" t="s">
        <v>707</v>
      </c>
      <c r="E399" t="s">
        <v>1320</v>
      </c>
      <c r="F399" t="s">
        <v>1246</v>
      </c>
      <c r="G399" t="s">
        <v>115</v>
      </c>
      <c r="H399" t="s">
        <v>1323</v>
      </c>
      <c r="I399" t="s">
        <v>1313</v>
      </c>
      <c r="J399" t="s">
        <v>28</v>
      </c>
      <c r="K399" t="s">
        <v>1284</v>
      </c>
      <c r="L399" t="s">
        <v>30</v>
      </c>
      <c r="M399" s="2" t="s">
        <v>30</v>
      </c>
    </row>
    <row r="400" spans="1:19" x14ac:dyDescent="0.25">
      <c r="A400" t="s">
        <v>1246</v>
      </c>
      <c r="B400" t="s">
        <v>1246</v>
      </c>
      <c r="C400" t="s">
        <v>1319</v>
      </c>
      <c r="D400" t="s">
        <v>707</v>
      </c>
      <c r="E400" t="s">
        <v>1320</v>
      </c>
      <c r="F400" t="s">
        <v>1246</v>
      </c>
      <c r="G400" t="s">
        <v>115</v>
      </c>
      <c r="H400" t="s">
        <v>1324</v>
      </c>
      <c r="I400" t="s">
        <v>1325</v>
      </c>
      <c r="J400" t="s">
        <v>28</v>
      </c>
      <c r="K400" t="s">
        <v>177</v>
      </c>
      <c r="L400" t="s">
        <v>30</v>
      </c>
      <c r="M400" s="2" t="s">
        <v>30</v>
      </c>
      <c r="O400" t="s">
        <v>1326</v>
      </c>
    </row>
    <row r="401" spans="1:17" x14ac:dyDescent="0.25">
      <c r="A401" t="s">
        <v>1246</v>
      </c>
      <c r="B401" t="s">
        <v>1246</v>
      </c>
      <c r="C401" t="s">
        <v>1319</v>
      </c>
      <c r="D401" t="s">
        <v>707</v>
      </c>
      <c r="E401" t="s">
        <v>1320</v>
      </c>
      <c r="F401" t="s">
        <v>1246</v>
      </c>
      <c r="G401" t="s">
        <v>115</v>
      </c>
      <c r="H401" t="s">
        <v>1327</v>
      </c>
      <c r="I401" t="s">
        <v>1328</v>
      </c>
      <c r="J401" t="s">
        <v>28</v>
      </c>
      <c r="K401" t="s">
        <v>177</v>
      </c>
      <c r="L401" t="s">
        <v>30</v>
      </c>
      <c r="M401" s="2" t="s">
        <v>30</v>
      </c>
      <c r="O401" t="s">
        <v>1326</v>
      </c>
    </row>
    <row r="402" spans="1:17" x14ac:dyDescent="0.25">
      <c r="A402" t="s">
        <v>1246</v>
      </c>
      <c r="B402" t="s">
        <v>1246</v>
      </c>
      <c r="C402" t="s">
        <v>1319</v>
      </c>
      <c r="D402" t="s">
        <v>707</v>
      </c>
      <c r="E402" t="s">
        <v>1320</v>
      </c>
      <c r="F402" t="s">
        <v>1246</v>
      </c>
      <c r="G402" t="s">
        <v>115</v>
      </c>
      <c r="H402" t="s">
        <v>1329</v>
      </c>
      <c r="I402" t="s">
        <v>1295</v>
      </c>
      <c r="J402" t="s">
        <v>28</v>
      </c>
      <c r="K402" t="s">
        <v>177</v>
      </c>
      <c r="L402" t="s">
        <v>30</v>
      </c>
      <c r="M402" s="2" t="s">
        <v>30</v>
      </c>
      <c r="O402" t="s">
        <v>1326</v>
      </c>
    </row>
    <row r="403" spans="1:17" x14ac:dyDescent="0.25">
      <c r="A403" t="s">
        <v>1246</v>
      </c>
      <c r="B403" t="s">
        <v>1246</v>
      </c>
      <c r="C403" t="s">
        <v>1330</v>
      </c>
      <c r="D403" t="s">
        <v>707</v>
      </c>
      <c r="E403" t="s">
        <v>1331</v>
      </c>
      <c r="F403" t="s">
        <v>1246</v>
      </c>
      <c r="G403" t="s">
        <v>115</v>
      </c>
      <c r="H403" t="s">
        <v>1332</v>
      </c>
      <c r="I403" t="s">
        <v>1333</v>
      </c>
      <c r="J403" t="s">
        <v>28</v>
      </c>
      <c r="K403" t="s">
        <v>1284</v>
      </c>
      <c r="L403" t="s">
        <v>30</v>
      </c>
      <c r="M403" s="2" t="s">
        <v>30</v>
      </c>
    </row>
    <row r="404" spans="1:17" x14ac:dyDescent="0.25">
      <c r="A404" t="s">
        <v>1246</v>
      </c>
      <c r="B404" t="s">
        <v>1246</v>
      </c>
      <c r="C404" t="s">
        <v>1330</v>
      </c>
      <c r="D404" t="s">
        <v>707</v>
      </c>
      <c r="E404" t="s">
        <v>1331</v>
      </c>
      <c r="F404" t="s">
        <v>1246</v>
      </c>
      <c r="G404" t="s">
        <v>115</v>
      </c>
      <c r="H404" t="s">
        <v>1334</v>
      </c>
      <c r="I404" t="s">
        <v>1313</v>
      </c>
      <c r="J404" t="s">
        <v>28</v>
      </c>
      <c r="K404" t="s">
        <v>1284</v>
      </c>
      <c r="L404" t="s">
        <v>30</v>
      </c>
      <c r="M404" s="2" t="s">
        <v>30</v>
      </c>
    </row>
    <row r="405" spans="1:17" x14ac:dyDescent="0.25">
      <c r="A405" t="s">
        <v>1246</v>
      </c>
      <c r="B405" t="s">
        <v>1246</v>
      </c>
      <c r="C405" t="s">
        <v>1330</v>
      </c>
      <c r="D405" t="s">
        <v>707</v>
      </c>
      <c r="E405" t="s">
        <v>1331</v>
      </c>
      <c r="F405" t="s">
        <v>1246</v>
      </c>
      <c r="G405" t="s">
        <v>115</v>
      </c>
      <c r="H405" t="s">
        <v>1335</v>
      </c>
      <c r="I405" t="s">
        <v>1336</v>
      </c>
      <c r="J405" t="s">
        <v>28</v>
      </c>
      <c r="K405" t="s">
        <v>1284</v>
      </c>
      <c r="L405" t="s">
        <v>30</v>
      </c>
      <c r="M405" s="2" t="s">
        <v>30</v>
      </c>
    </row>
    <row r="406" spans="1:17" x14ac:dyDescent="0.25">
      <c r="A406" t="s">
        <v>1246</v>
      </c>
      <c r="B406" t="s">
        <v>1246</v>
      </c>
      <c r="C406" t="s">
        <v>1330</v>
      </c>
      <c r="D406" t="s">
        <v>707</v>
      </c>
      <c r="E406" t="s">
        <v>1331</v>
      </c>
      <c r="F406" t="s">
        <v>1246</v>
      </c>
      <c r="G406" t="s">
        <v>115</v>
      </c>
      <c r="H406" t="s">
        <v>1337</v>
      </c>
      <c r="I406" t="s">
        <v>1338</v>
      </c>
      <c r="J406" t="s">
        <v>28</v>
      </c>
      <c r="K406" t="s">
        <v>1284</v>
      </c>
      <c r="L406" t="s">
        <v>30</v>
      </c>
      <c r="M406" s="2" t="s">
        <v>30</v>
      </c>
    </row>
    <row r="407" spans="1:17" x14ac:dyDescent="0.25">
      <c r="A407" t="s">
        <v>1246</v>
      </c>
      <c r="B407" t="s">
        <v>1246</v>
      </c>
      <c r="C407" t="s">
        <v>1330</v>
      </c>
      <c r="D407" t="s">
        <v>707</v>
      </c>
      <c r="E407" t="s">
        <v>1331</v>
      </c>
      <c r="F407" t="s">
        <v>1246</v>
      </c>
      <c r="G407" t="s">
        <v>115</v>
      </c>
      <c r="H407" t="s">
        <v>1339</v>
      </c>
      <c r="I407" t="s">
        <v>1295</v>
      </c>
      <c r="J407" t="s">
        <v>28</v>
      </c>
      <c r="K407" t="s">
        <v>1284</v>
      </c>
      <c r="L407" t="s">
        <v>30</v>
      </c>
      <c r="M407" s="2" t="s">
        <v>30</v>
      </c>
    </row>
    <row r="408" spans="1:17" x14ac:dyDescent="0.25">
      <c r="A408" t="s">
        <v>1246</v>
      </c>
      <c r="B408" t="s">
        <v>1246</v>
      </c>
      <c r="C408" t="s">
        <v>1340</v>
      </c>
      <c r="D408" t="s">
        <v>707</v>
      </c>
      <c r="E408" t="s">
        <v>1341</v>
      </c>
      <c r="F408" t="s">
        <v>1246</v>
      </c>
      <c r="G408" t="s">
        <v>115</v>
      </c>
      <c r="H408" t="s">
        <v>1342</v>
      </c>
      <c r="I408" t="s">
        <v>1343</v>
      </c>
      <c r="J408" t="s">
        <v>28</v>
      </c>
      <c r="K408" t="s">
        <v>1284</v>
      </c>
      <c r="L408" t="s">
        <v>30</v>
      </c>
      <c r="M408" s="2" t="s">
        <v>30</v>
      </c>
    </row>
    <row r="409" spans="1:17" x14ac:dyDescent="0.25">
      <c r="A409" t="s">
        <v>1246</v>
      </c>
      <c r="B409" t="s">
        <v>1246</v>
      </c>
      <c r="C409" t="s">
        <v>1340</v>
      </c>
      <c r="D409" t="s">
        <v>707</v>
      </c>
      <c r="E409" t="s">
        <v>1341</v>
      </c>
      <c r="F409" t="s">
        <v>1246</v>
      </c>
      <c r="G409" t="s">
        <v>115</v>
      </c>
      <c r="H409" t="s">
        <v>1344</v>
      </c>
      <c r="I409" t="s">
        <v>1313</v>
      </c>
      <c r="J409" t="s">
        <v>28</v>
      </c>
      <c r="K409" t="s">
        <v>1284</v>
      </c>
      <c r="L409" t="s">
        <v>30</v>
      </c>
      <c r="M409" s="2" t="s">
        <v>30</v>
      </c>
    </row>
    <row r="410" spans="1:17" x14ac:dyDescent="0.25">
      <c r="A410" t="s">
        <v>1246</v>
      </c>
      <c r="B410" t="s">
        <v>1246</v>
      </c>
      <c r="C410" t="s">
        <v>1340</v>
      </c>
      <c r="D410" t="s">
        <v>707</v>
      </c>
      <c r="E410" t="s">
        <v>1341</v>
      </c>
      <c r="F410" t="s">
        <v>1246</v>
      </c>
      <c r="G410" t="s">
        <v>115</v>
      </c>
      <c r="H410" t="s">
        <v>1345</v>
      </c>
      <c r="I410" t="s">
        <v>1336</v>
      </c>
      <c r="J410" t="s">
        <v>28</v>
      </c>
      <c r="K410" t="s">
        <v>1284</v>
      </c>
      <c r="L410" t="s">
        <v>30</v>
      </c>
      <c r="M410" s="2" t="s">
        <v>30</v>
      </c>
    </row>
    <row r="411" spans="1:17" x14ac:dyDescent="0.25">
      <c r="A411" t="s">
        <v>1246</v>
      </c>
      <c r="B411" t="s">
        <v>1246</v>
      </c>
      <c r="C411" t="s">
        <v>1340</v>
      </c>
      <c r="D411" t="s">
        <v>707</v>
      </c>
      <c r="E411" t="s">
        <v>1341</v>
      </c>
      <c r="F411" t="s">
        <v>1246</v>
      </c>
      <c r="G411" t="s">
        <v>115</v>
      </c>
      <c r="H411" t="s">
        <v>1346</v>
      </c>
      <c r="I411" t="s">
        <v>1338</v>
      </c>
      <c r="J411" t="s">
        <v>28</v>
      </c>
      <c r="K411" t="s">
        <v>1284</v>
      </c>
      <c r="L411" t="s">
        <v>30</v>
      </c>
      <c r="M411" s="2" t="s">
        <v>30</v>
      </c>
    </row>
    <row r="412" spans="1:17" x14ac:dyDescent="0.25">
      <c r="A412" t="s">
        <v>1246</v>
      </c>
      <c r="B412" t="s">
        <v>1246</v>
      </c>
      <c r="C412" t="s">
        <v>1340</v>
      </c>
      <c r="D412" t="s">
        <v>707</v>
      </c>
      <c r="E412" t="s">
        <v>1341</v>
      </c>
      <c r="F412" t="s">
        <v>1246</v>
      </c>
      <c r="G412" t="s">
        <v>115</v>
      </c>
      <c r="H412" t="s">
        <v>1347</v>
      </c>
      <c r="I412" t="s">
        <v>1295</v>
      </c>
      <c r="J412" t="s">
        <v>28</v>
      </c>
      <c r="K412" t="s">
        <v>1284</v>
      </c>
      <c r="L412" t="s">
        <v>30</v>
      </c>
      <c r="M412" s="2" t="s">
        <v>30</v>
      </c>
    </row>
    <row r="413" spans="1:17" x14ac:dyDescent="0.25">
      <c r="A413" t="s">
        <v>1246</v>
      </c>
      <c r="B413" t="s">
        <v>1246</v>
      </c>
      <c r="C413" t="s">
        <v>1348</v>
      </c>
      <c r="D413" t="s">
        <v>707</v>
      </c>
      <c r="E413" t="s">
        <v>1349</v>
      </c>
      <c r="F413" t="s">
        <v>1246</v>
      </c>
      <c r="G413" t="s">
        <v>115</v>
      </c>
      <c r="H413" t="s">
        <v>1350</v>
      </c>
      <c r="I413" t="s">
        <v>1351</v>
      </c>
      <c r="J413" t="s">
        <v>28</v>
      </c>
      <c r="K413" t="s">
        <v>1291</v>
      </c>
      <c r="L413" t="s">
        <v>30</v>
      </c>
      <c r="M413" s="2" t="s">
        <v>30</v>
      </c>
      <c r="Q413" t="s">
        <v>1297</v>
      </c>
    </row>
    <row r="414" spans="1:17" x14ac:dyDescent="0.25">
      <c r="A414" t="s">
        <v>1246</v>
      </c>
      <c r="B414" t="s">
        <v>1246</v>
      </c>
      <c r="C414" t="s">
        <v>1348</v>
      </c>
      <c r="D414" t="s">
        <v>707</v>
      </c>
      <c r="E414" t="s">
        <v>1349</v>
      </c>
      <c r="F414" t="s">
        <v>1246</v>
      </c>
      <c r="G414" t="s">
        <v>115</v>
      </c>
      <c r="H414" t="s">
        <v>1352</v>
      </c>
      <c r="I414" t="s">
        <v>1353</v>
      </c>
      <c r="J414" t="s">
        <v>28</v>
      </c>
      <c r="K414" t="s">
        <v>1291</v>
      </c>
      <c r="L414" t="s">
        <v>30</v>
      </c>
      <c r="M414" s="2" t="s">
        <v>30</v>
      </c>
      <c r="O414" t="s">
        <v>1307</v>
      </c>
    </row>
    <row r="415" spans="1:17" x14ac:dyDescent="0.25">
      <c r="A415" t="s">
        <v>1246</v>
      </c>
      <c r="B415" t="s">
        <v>1246</v>
      </c>
      <c r="C415" t="s">
        <v>1348</v>
      </c>
      <c r="D415" t="s">
        <v>707</v>
      </c>
      <c r="E415" t="s">
        <v>1349</v>
      </c>
      <c r="F415" t="s">
        <v>1246</v>
      </c>
      <c r="G415" t="s">
        <v>115</v>
      </c>
      <c r="H415" t="s">
        <v>1354</v>
      </c>
      <c r="I415" t="s">
        <v>1355</v>
      </c>
      <c r="J415" t="s">
        <v>28</v>
      </c>
      <c r="K415" t="s">
        <v>177</v>
      </c>
      <c r="L415" t="s">
        <v>30</v>
      </c>
      <c r="M415" s="2" t="s">
        <v>30</v>
      </c>
      <c r="O415" t="s">
        <v>1356</v>
      </c>
    </row>
    <row r="416" spans="1:17" x14ac:dyDescent="0.25">
      <c r="A416" t="s">
        <v>1246</v>
      </c>
      <c r="B416" t="s">
        <v>1246</v>
      </c>
      <c r="C416" t="s">
        <v>1348</v>
      </c>
      <c r="D416" t="s">
        <v>707</v>
      </c>
      <c r="E416" t="s">
        <v>1349</v>
      </c>
      <c r="F416" t="s">
        <v>1246</v>
      </c>
      <c r="G416" t="s">
        <v>115</v>
      </c>
      <c r="H416" t="s">
        <v>1357</v>
      </c>
      <c r="I416" t="s">
        <v>1295</v>
      </c>
      <c r="J416" t="s">
        <v>28</v>
      </c>
      <c r="K416" t="s">
        <v>124</v>
      </c>
      <c r="L416" t="s">
        <v>30</v>
      </c>
      <c r="M416" s="2" t="s">
        <v>30</v>
      </c>
      <c r="O416" t="s">
        <v>1296</v>
      </c>
      <c r="Q416" t="s">
        <v>1297</v>
      </c>
    </row>
    <row r="417" spans="1:18" x14ac:dyDescent="0.25">
      <c r="A417" t="s">
        <v>1246</v>
      </c>
      <c r="B417" t="s">
        <v>1246</v>
      </c>
      <c r="C417" t="s">
        <v>1358</v>
      </c>
      <c r="D417" t="s">
        <v>603</v>
      </c>
      <c r="E417" t="s">
        <v>1359</v>
      </c>
      <c r="F417" t="s">
        <v>1246</v>
      </c>
      <c r="G417" t="s">
        <v>605</v>
      </c>
      <c r="H417" t="s">
        <v>1360</v>
      </c>
      <c r="I417" t="s">
        <v>1361</v>
      </c>
      <c r="J417" t="s">
        <v>28</v>
      </c>
      <c r="K417" t="s">
        <v>634</v>
      </c>
      <c r="L417" t="s">
        <v>30</v>
      </c>
      <c r="M417" s="2" t="s">
        <v>30</v>
      </c>
      <c r="O417" t="s">
        <v>1362</v>
      </c>
    </row>
    <row r="418" spans="1:18" x14ac:dyDescent="0.25">
      <c r="A418" t="s">
        <v>1246</v>
      </c>
      <c r="B418" t="s">
        <v>1246</v>
      </c>
      <c r="C418" t="s">
        <v>1358</v>
      </c>
      <c r="D418" t="s">
        <v>603</v>
      </c>
      <c r="E418" t="s">
        <v>1359</v>
      </c>
      <c r="F418" t="s">
        <v>1246</v>
      </c>
      <c r="G418" t="s">
        <v>605</v>
      </c>
      <c r="H418" t="s">
        <v>1363</v>
      </c>
      <c r="I418" t="s">
        <v>1364</v>
      </c>
      <c r="J418" t="s">
        <v>28</v>
      </c>
      <c r="K418" t="s">
        <v>36</v>
      </c>
      <c r="L418" t="s">
        <v>30</v>
      </c>
      <c r="M418" s="2" t="s">
        <v>30</v>
      </c>
      <c r="O418" t="s">
        <v>1365</v>
      </c>
    </row>
    <row r="419" spans="1:18" x14ac:dyDescent="0.25">
      <c r="A419" t="s">
        <v>1246</v>
      </c>
      <c r="B419" t="s">
        <v>1246</v>
      </c>
      <c r="C419" t="s">
        <v>1358</v>
      </c>
      <c r="D419" t="s">
        <v>603</v>
      </c>
      <c r="E419" t="s">
        <v>1359</v>
      </c>
      <c r="F419" t="s">
        <v>1246</v>
      </c>
      <c r="G419" t="s">
        <v>605</v>
      </c>
      <c r="H419" t="s">
        <v>1366</v>
      </c>
      <c r="I419" t="s">
        <v>1367</v>
      </c>
      <c r="J419" t="s">
        <v>28</v>
      </c>
      <c r="K419" t="s">
        <v>634</v>
      </c>
      <c r="L419" t="s">
        <v>30</v>
      </c>
      <c r="M419" s="2" t="s">
        <v>30</v>
      </c>
      <c r="O419" t="s">
        <v>1362</v>
      </c>
    </row>
    <row r="420" spans="1:18" x14ac:dyDescent="0.25">
      <c r="A420" t="s">
        <v>1246</v>
      </c>
      <c r="B420" t="s">
        <v>1246</v>
      </c>
      <c r="C420" t="s">
        <v>1368</v>
      </c>
      <c r="D420" t="s">
        <v>603</v>
      </c>
      <c r="E420" t="s">
        <v>1369</v>
      </c>
      <c r="F420" t="s">
        <v>1246</v>
      </c>
      <c r="G420" t="s">
        <v>605</v>
      </c>
      <c r="H420" t="s">
        <v>1370</v>
      </c>
      <c r="I420" t="s">
        <v>1371</v>
      </c>
      <c r="J420" t="s">
        <v>28</v>
      </c>
      <c r="K420" t="s">
        <v>1372</v>
      </c>
      <c r="L420" t="s">
        <v>52</v>
      </c>
      <c r="M420" s="3" t="s">
        <v>52</v>
      </c>
    </row>
    <row r="421" spans="1:18" x14ac:dyDescent="0.25">
      <c r="A421" t="s">
        <v>1246</v>
      </c>
      <c r="B421" t="s">
        <v>1246</v>
      </c>
      <c r="C421" t="s">
        <v>1368</v>
      </c>
      <c r="D421" t="s">
        <v>603</v>
      </c>
      <c r="E421" t="s">
        <v>1369</v>
      </c>
      <c r="F421" t="s">
        <v>1246</v>
      </c>
      <c r="G421" t="s">
        <v>605</v>
      </c>
      <c r="H421" t="s">
        <v>1373</v>
      </c>
      <c r="I421" t="s">
        <v>1374</v>
      </c>
      <c r="J421" t="s">
        <v>28</v>
      </c>
      <c r="K421" t="s">
        <v>634</v>
      </c>
      <c r="L421" t="s">
        <v>30</v>
      </c>
      <c r="M421" s="2" t="s">
        <v>30</v>
      </c>
      <c r="O421" t="s">
        <v>1362</v>
      </c>
    </row>
    <row r="422" spans="1:18" s="83" customFormat="1" x14ac:dyDescent="0.25">
      <c r="A422" s="83" t="s">
        <v>1246</v>
      </c>
      <c r="B422" s="83" t="s">
        <v>1246</v>
      </c>
      <c r="C422" s="83" t="s">
        <v>1368</v>
      </c>
      <c r="D422" s="83" t="s">
        <v>603</v>
      </c>
      <c r="E422" s="83" t="s">
        <v>1369</v>
      </c>
      <c r="F422" s="83" t="s">
        <v>1246</v>
      </c>
      <c r="G422" s="83" t="s">
        <v>605</v>
      </c>
      <c r="H422" s="83" t="s">
        <v>1375</v>
      </c>
      <c r="I422" s="83" t="s">
        <v>1376</v>
      </c>
      <c r="J422" s="83" t="s">
        <v>28</v>
      </c>
      <c r="K422" s="83" t="s">
        <v>632</v>
      </c>
      <c r="L422" t="s">
        <v>30</v>
      </c>
      <c r="M422" s="2" t="s">
        <v>30</v>
      </c>
      <c r="N422" s="83" t="s">
        <v>22</v>
      </c>
      <c r="O422" s="83" t="s">
        <v>1377</v>
      </c>
    </row>
    <row r="423" spans="1:18" x14ac:dyDescent="0.25">
      <c r="A423" t="s">
        <v>1246</v>
      </c>
      <c r="B423" t="s">
        <v>1246</v>
      </c>
      <c r="C423" t="s">
        <v>1378</v>
      </c>
      <c r="D423" t="s">
        <v>603</v>
      </c>
      <c r="E423" t="s">
        <v>1379</v>
      </c>
      <c r="F423" t="s">
        <v>1246</v>
      </c>
      <c r="G423" t="s">
        <v>605</v>
      </c>
      <c r="H423" t="s">
        <v>1380</v>
      </c>
      <c r="I423" t="s">
        <v>1381</v>
      </c>
      <c r="J423" t="s">
        <v>28</v>
      </c>
      <c r="K423" t="s">
        <v>1372</v>
      </c>
      <c r="L423" t="s">
        <v>52</v>
      </c>
      <c r="M423" s="3" t="s">
        <v>52</v>
      </c>
    </row>
    <row r="424" spans="1:18" x14ac:dyDescent="0.25">
      <c r="A424" t="s">
        <v>1382</v>
      </c>
      <c r="B424" t="s">
        <v>1382</v>
      </c>
      <c r="C424" t="s">
        <v>1383</v>
      </c>
      <c r="D424" t="s">
        <v>1101</v>
      </c>
      <c r="E424" t="s">
        <v>1384</v>
      </c>
      <c r="F424" t="s">
        <v>1385</v>
      </c>
      <c r="G424" t="s">
        <v>1386</v>
      </c>
      <c r="H424" t="s">
        <v>1387</v>
      </c>
      <c r="I424" t="s">
        <v>1388</v>
      </c>
      <c r="J424" t="s">
        <v>28</v>
      </c>
      <c r="K424" t="s">
        <v>118</v>
      </c>
      <c r="L424" s="85" t="s">
        <v>30</v>
      </c>
      <c r="M424" s="106" t="s">
        <v>30</v>
      </c>
      <c r="O424" t="s">
        <v>1389</v>
      </c>
      <c r="P424" t="s">
        <v>126</v>
      </c>
    </row>
    <row r="425" spans="1:18" x14ac:dyDescent="0.25">
      <c r="A425" t="s">
        <v>1382</v>
      </c>
      <c r="B425" t="s">
        <v>1382</v>
      </c>
      <c r="C425" t="s">
        <v>1383</v>
      </c>
      <c r="D425" t="s">
        <v>1101</v>
      </c>
      <c r="E425" t="s">
        <v>1384</v>
      </c>
      <c r="F425" t="s">
        <v>1385</v>
      </c>
      <c r="G425" t="s">
        <v>1386</v>
      </c>
      <c r="H425" t="s">
        <v>1390</v>
      </c>
      <c r="I425" t="s">
        <v>1391</v>
      </c>
      <c r="J425" t="s">
        <v>28</v>
      </c>
      <c r="K425" t="s">
        <v>1392</v>
      </c>
      <c r="L425" s="2" t="s">
        <v>30</v>
      </c>
      <c r="M425" s="2" t="s">
        <v>30</v>
      </c>
      <c r="N425" t="s">
        <v>22</v>
      </c>
      <c r="O425" t="s">
        <v>1393</v>
      </c>
    </row>
    <row r="426" spans="1:18" x14ac:dyDescent="0.25">
      <c r="A426" t="s">
        <v>1382</v>
      </c>
      <c r="B426" t="s">
        <v>1382</v>
      </c>
      <c r="C426" t="s">
        <v>1383</v>
      </c>
      <c r="D426" t="s">
        <v>1101</v>
      </c>
      <c r="E426" t="s">
        <v>1384</v>
      </c>
      <c r="F426" t="s">
        <v>1385</v>
      </c>
      <c r="G426" t="s">
        <v>1386</v>
      </c>
      <c r="H426" t="s">
        <v>1394</v>
      </c>
      <c r="I426" t="s">
        <v>1395</v>
      </c>
      <c r="J426" t="s">
        <v>28</v>
      </c>
      <c r="K426" t="s">
        <v>1392</v>
      </c>
      <c r="L426" t="s">
        <v>30</v>
      </c>
      <c r="M426" s="2" t="s">
        <v>30</v>
      </c>
      <c r="O426" t="s">
        <v>1396</v>
      </c>
    </row>
    <row r="427" spans="1:18" x14ac:dyDescent="0.25">
      <c r="A427" t="s">
        <v>1382</v>
      </c>
      <c r="B427" t="s">
        <v>1382</v>
      </c>
      <c r="C427" t="s">
        <v>1397</v>
      </c>
      <c r="D427" t="s">
        <v>1101</v>
      </c>
      <c r="E427" t="s">
        <v>1398</v>
      </c>
      <c r="F427" t="s">
        <v>1385</v>
      </c>
      <c r="G427" t="s">
        <v>1386</v>
      </c>
      <c r="H427" t="s">
        <v>1399</v>
      </c>
      <c r="I427" t="s">
        <v>1400</v>
      </c>
      <c r="J427" t="s">
        <v>28</v>
      </c>
      <c r="K427" t="s">
        <v>1392</v>
      </c>
      <c r="L427" t="s">
        <v>30</v>
      </c>
      <c r="M427" s="2" t="s">
        <v>30</v>
      </c>
      <c r="R427" t="s">
        <v>634</v>
      </c>
    </row>
    <row r="428" spans="1:18" x14ac:dyDescent="0.25">
      <c r="A428" t="s">
        <v>1382</v>
      </c>
      <c r="B428" t="s">
        <v>1382</v>
      </c>
      <c r="C428" t="s">
        <v>1397</v>
      </c>
      <c r="D428" t="s">
        <v>1101</v>
      </c>
      <c r="E428" t="s">
        <v>1398</v>
      </c>
      <c r="F428" t="s">
        <v>1385</v>
      </c>
      <c r="G428" t="s">
        <v>1386</v>
      </c>
      <c r="H428" t="s">
        <v>1401</v>
      </c>
      <c r="I428" t="s">
        <v>1402</v>
      </c>
      <c r="J428" t="s">
        <v>28</v>
      </c>
      <c r="K428" t="s">
        <v>1392</v>
      </c>
      <c r="L428" t="s">
        <v>30</v>
      </c>
      <c r="M428" s="2" t="s">
        <v>30</v>
      </c>
      <c r="N428" t="s">
        <v>22</v>
      </c>
      <c r="O428" t="s">
        <v>1403</v>
      </c>
      <c r="R428" t="s">
        <v>1404</v>
      </c>
    </row>
    <row r="429" spans="1:18" x14ac:dyDescent="0.25">
      <c r="A429" t="s">
        <v>1382</v>
      </c>
      <c r="B429" t="s">
        <v>1382</v>
      </c>
      <c r="C429" t="s">
        <v>1397</v>
      </c>
      <c r="D429" t="s">
        <v>1101</v>
      </c>
      <c r="E429" t="s">
        <v>1398</v>
      </c>
      <c r="F429" t="s">
        <v>1385</v>
      </c>
      <c r="G429" t="s">
        <v>1386</v>
      </c>
      <c r="H429" t="s">
        <v>1405</v>
      </c>
      <c r="I429" t="s">
        <v>1406</v>
      </c>
      <c r="J429" t="s">
        <v>28</v>
      </c>
      <c r="K429" t="s">
        <v>1392</v>
      </c>
      <c r="L429" t="s">
        <v>30</v>
      </c>
      <c r="M429" s="2" t="s">
        <v>30</v>
      </c>
      <c r="R429" t="s">
        <v>634</v>
      </c>
    </row>
    <row r="430" spans="1:18" x14ac:dyDescent="0.25">
      <c r="A430" t="s">
        <v>1382</v>
      </c>
      <c r="B430" t="s">
        <v>1382</v>
      </c>
      <c r="C430" t="s">
        <v>1397</v>
      </c>
      <c r="D430" t="s">
        <v>1101</v>
      </c>
      <c r="E430" t="s">
        <v>1398</v>
      </c>
      <c r="F430" t="s">
        <v>1385</v>
      </c>
      <c r="G430" t="s">
        <v>1386</v>
      </c>
      <c r="H430" t="s">
        <v>1407</v>
      </c>
      <c r="I430" t="s">
        <v>1408</v>
      </c>
      <c r="J430" t="s">
        <v>28</v>
      </c>
      <c r="K430" t="s">
        <v>1392</v>
      </c>
      <c r="L430" t="s">
        <v>30</v>
      </c>
      <c r="M430" s="2" t="s">
        <v>30</v>
      </c>
      <c r="R430" t="s">
        <v>634</v>
      </c>
    </row>
    <row r="431" spans="1:18" x14ac:dyDescent="0.25">
      <c r="A431" t="s">
        <v>1382</v>
      </c>
      <c r="B431" t="s">
        <v>1382</v>
      </c>
      <c r="C431" t="s">
        <v>1397</v>
      </c>
      <c r="D431" t="s">
        <v>1101</v>
      </c>
      <c r="E431" t="s">
        <v>1398</v>
      </c>
      <c r="F431" t="s">
        <v>1385</v>
      </c>
      <c r="G431" t="s">
        <v>1386</v>
      </c>
      <c r="H431" t="s">
        <v>1409</v>
      </c>
      <c r="I431" t="s">
        <v>1410</v>
      </c>
      <c r="J431" t="s">
        <v>28</v>
      </c>
      <c r="K431" t="s">
        <v>1392</v>
      </c>
      <c r="L431" t="s">
        <v>30</v>
      </c>
      <c r="M431" s="2" t="s">
        <v>30</v>
      </c>
      <c r="R431" t="s">
        <v>634</v>
      </c>
    </row>
    <row r="432" spans="1:18" x14ac:dyDescent="0.25">
      <c r="A432" t="s">
        <v>1382</v>
      </c>
      <c r="B432" t="s">
        <v>1382</v>
      </c>
      <c r="C432" t="s">
        <v>1411</v>
      </c>
      <c r="D432" t="s">
        <v>1101</v>
      </c>
      <c r="E432" t="s">
        <v>1412</v>
      </c>
      <c r="F432" t="s">
        <v>1385</v>
      </c>
      <c r="G432" t="s">
        <v>1413</v>
      </c>
      <c r="H432" t="s">
        <v>1414</v>
      </c>
      <c r="I432" t="s">
        <v>1415</v>
      </c>
      <c r="J432" t="s">
        <v>28</v>
      </c>
      <c r="K432" t="s">
        <v>1392</v>
      </c>
      <c r="L432" t="s">
        <v>30</v>
      </c>
      <c r="M432" s="2" t="s">
        <v>30</v>
      </c>
      <c r="N432" t="s">
        <v>59</v>
      </c>
      <c r="O432" t="s">
        <v>1416</v>
      </c>
    </row>
    <row r="433" spans="1:15" x14ac:dyDescent="0.25">
      <c r="A433" t="s">
        <v>1382</v>
      </c>
      <c r="B433" t="s">
        <v>1382</v>
      </c>
      <c r="C433" t="s">
        <v>1411</v>
      </c>
      <c r="D433" t="s">
        <v>1101</v>
      </c>
      <c r="E433" t="s">
        <v>1412</v>
      </c>
      <c r="F433" t="s">
        <v>1385</v>
      </c>
      <c r="G433" t="s">
        <v>1413</v>
      </c>
      <c r="H433" t="s">
        <v>1417</v>
      </c>
      <c r="I433" t="s">
        <v>1418</v>
      </c>
      <c r="J433" t="s">
        <v>28</v>
      </c>
      <c r="K433" t="s">
        <v>1392</v>
      </c>
      <c r="L433" t="s">
        <v>30</v>
      </c>
      <c r="M433" s="2" t="s">
        <v>30</v>
      </c>
      <c r="O433" t="s">
        <v>1396</v>
      </c>
    </row>
    <row r="434" spans="1:15" x14ac:dyDescent="0.25">
      <c r="A434" t="s">
        <v>1382</v>
      </c>
      <c r="B434" t="s">
        <v>1382</v>
      </c>
      <c r="C434" t="s">
        <v>1411</v>
      </c>
      <c r="D434" t="s">
        <v>1101</v>
      </c>
      <c r="E434" t="s">
        <v>1412</v>
      </c>
      <c r="F434" t="s">
        <v>1385</v>
      </c>
      <c r="G434" t="s">
        <v>1413</v>
      </c>
      <c r="H434" t="s">
        <v>1419</v>
      </c>
      <c r="I434" t="s">
        <v>1420</v>
      </c>
      <c r="J434" t="s">
        <v>28</v>
      </c>
      <c r="K434" t="s">
        <v>1392</v>
      </c>
      <c r="L434" t="s">
        <v>30</v>
      </c>
      <c r="M434" s="2" t="s">
        <v>30</v>
      </c>
      <c r="N434" t="s">
        <v>59</v>
      </c>
      <c r="O434" t="s">
        <v>1416</v>
      </c>
    </row>
    <row r="435" spans="1:15" x14ac:dyDescent="0.25">
      <c r="A435" t="s">
        <v>1382</v>
      </c>
      <c r="B435" t="s">
        <v>1382</v>
      </c>
      <c r="C435" t="s">
        <v>1411</v>
      </c>
      <c r="D435" t="s">
        <v>1101</v>
      </c>
      <c r="E435" t="s">
        <v>1412</v>
      </c>
      <c r="F435" t="s">
        <v>1385</v>
      </c>
      <c r="G435" t="s">
        <v>1413</v>
      </c>
      <c r="H435" t="s">
        <v>1421</v>
      </c>
      <c r="I435" t="s">
        <v>1422</v>
      </c>
      <c r="J435" t="s">
        <v>28</v>
      </c>
      <c r="K435" t="s">
        <v>118</v>
      </c>
      <c r="L435" t="s">
        <v>30</v>
      </c>
      <c r="M435" s="2" t="s">
        <v>30</v>
      </c>
    </row>
    <row r="436" spans="1:15" x14ac:dyDescent="0.25">
      <c r="A436" t="s">
        <v>1382</v>
      </c>
      <c r="B436" t="s">
        <v>1382</v>
      </c>
      <c r="C436" t="s">
        <v>1411</v>
      </c>
      <c r="D436" t="s">
        <v>1101</v>
      </c>
      <c r="E436" t="s">
        <v>1412</v>
      </c>
      <c r="F436" t="s">
        <v>1385</v>
      </c>
      <c r="G436" t="s">
        <v>1413</v>
      </c>
      <c r="H436" t="s">
        <v>1423</v>
      </c>
      <c r="I436" t="s">
        <v>1424</v>
      </c>
      <c r="J436" t="s">
        <v>28</v>
      </c>
      <c r="L436" t="s">
        <v>52</v>
      </c>
      <c r="M436" s="3" t="s">
        <v>52</v>
      </c>
    </row>
    <row r="437" spans="1:15" x14ac:dyDescent="0.25">
      <c r="A437" t="s">
        <v>1382</v>
      </c>
      <c r="B437" t="s">
        <v>1382</v>
      </c>
      <c r="C437" t="s">
        <v>1425</v>
      </c>
      <c r="D437" t="s">
        <v>1101</v>
      </c>
      <c r="E437" t="s">
        <v>1426</v>
      </c>
      <c r="F437" t="s">
        <v>1385</v>
      </c>
      <c r="G437" t="s">
        <v>1132</v>
      </c>
      <c r="H437" t="s">
        <v>1427</v>
      </c>
      <c r="I437" t="s">
        <v>1428</v>
      </c>
      <c r="J437" t="s">
        <v>28</v>
      </c>
      <c r="K437" t="s">
        <v>1392</v>
      </c>
      <c r="L437" t="s">
        <v>181</v>
      </c>
      <c r="M437" s="4" t="s">
        <v>182</v>
      </c>
      <c r="O437" t="s">
        <v>1429</v>
      </c>
    </row>
    <row r="438" spans="1:15" x14ac:dyDescent="0.25">
      <c r="A438" t="s">
        <v>1382</v>
      </c>
      <c r="B438" t="s">
        <v>1382</v>
      </c>
      <c r="C438" t="s">
        <v>1425</v>
      </c>
      <c r="D438" t="s">
        <v>1101</v>
      </c>
      <c r="E438" t="s">
        <v>1426</v>
      </c>
      <c r="F438" t="s">
        <v>1385</v>
      </c>
      <c r="G438" t="s">
        <v>1132</v>
      </c>
      <c r="H438" t="s">
        <v>1430</v>
      </c>
      <c r="I438" t="s">
        <v>1431</v>
      </c>
      <c r="J438" t="s">
        <v>28</v>
      </c>
      <c r="K438" t="s">
        <v>118</v>
      </c>
      <c r="L438" t="s">
        <v>30</v>
      </c>
      <c r="M438" s="2" t="s">
        <v>30</v>
      </c>
    </row>
    <row r="439" spans="1:15" x14ac:dyDescent="0.25">
      <c r="A439" t="s">
        <v>1382</v>
      </c>
      <c r="B439" t="s">
        <v>1382</v>
      </c>
      <c r="C439" t="s">
        <v>1425</v>
      </c>
      <c r="D439" t="s">
        <v>1101</v>
      </c>
      <c r="E439" t="s">
        <v>1426</v>
      </c>
      <c r="F439" t="s">
        <v>1385</v>
      </c>
      <c r="G439" t="s">
        <v>1132</v>
      </c>
      <c r="H439" t="s">
        <v>1432</v>
      </c>
      <c r="I439" t="s">
        <v>1433</v>
      </c>
      <c r="J439" t="s">
        <v>28</v>
      </c>
      <c r="K439" t="s">
        <v>118</v>
      </c>
      <c r="L439" t="s">
        <v>30</v>
      </c>
      <c r="M439" s="2" t="s">
        <v>30</v>
      </c>
    </row>
    <row r="440" spans="1:15" x14ac:dyDescent="0.25">
      <c r="A440" t="s">
        <v>1382</v>
      </c>
      <c r="B440" t="s">
        <v>1382</v>
      </c>
      <c r="C440" t="s">
        <v>1425</v>
      </c>
      <c r="D440" t="s">
        <v>1101</v>
      </c>
      <c r="E440" t="s">
        <v>1426</v>
      </c>
      <c r="F440" t="s">
        <v>1385</v>
      </c>
      <c r="G440" t="s">
        <v>1132</v>
      </c>
      <c r="H440" t="s">
        <v>1434</v>
      </c>
      <c r="I440" t="s">
        <v>1435</v>
      </c>
      <c r="J440" t="s">
        <v>28</v>
      </c>
      <c r="L440" t="s">
        <v>52</v>
      </c>
      <c r="M440" s="3" t="s">
        <v>52</v>
      </c>
    </row>
    <row r="441" spans="1:15" x14ac:dyDescent="0.25">
      <c r="A441" t="s">
        <v>1382</v>
      </c>
      <c r="B441" t="s">
        <v>1382</v>
      </c>
      <c r="C441" t="s">
        <v>1425</v>
      </c>
      <c r="D441" t="s">
        <v>1101</v>
      </c>
      <c r="E441" t="s">
        <v>1426</v>
      </c>
      <c r="F441" t="s">
        <v>1385</v>
      </c>
      <c r="G441" t="s">
        <v>1132</v>
      </c>
      <c r="H441" t="s">
        <v>1436</v>
      </c>
      <c r="I441" t="s">
        <v>1437</v>
      </c>
      <c r="J441" t="s">
        <v>28</v>
      </c>
      <c r="L441" t="s">
        <v>52</v>
      </c>
      <c r="M441" s="3" t="s">
        <v>52</v>
      </c>
    </row>
    <row r="442" spans="1:15" x14ac:dyDescent="0.25">
      <c r="A442" t="s">
        <v>1382</v>
      </c>
      <c r="B442" t="s">
        <v>1382</v>
      </c>
      <c r="C442" t="s">
        <v>1425</v>
      </c>
      <c r="D442" t="s">
        <v>1101</v>
      </c>
      <c r="E442" t="s">
        <v>1426</v>
      </c>
      <c r="F442" t="s">
        <v>1385</v>
      </c>
      <c r="G442" t="s">
        <v>1132</v>
      </c>
      <c r="H442" t="s">
        <v>1438</v>
      </c>
      <c r="I442" t="s">
        <v>1439</v>
      </c>
      <c r="J442" t="s">
        <v>28</v>
      </c>
      <c r="L442" t="s">
        <v>52</v>
      </c>
      <c r="M442" s="3" t="s">
        <v>52</v>
      </c>
    </row>
    <row r="443" spans="1:15" x14ac:dyDescent="0.25">
      <c r="A443" t="s">
        <v>1382</v>
      </c>
      <c r="B443" t="s">
        <v>1382</v>
      </c>
      <c r="C443" t="s">
        <v>1440</v>
      </c>
      <c r="D443" t="s">
        <v>1101</v>
      </c>
      <c r="E443" t="s">
        <v>1441</v>
      </c>
      <c r="F443" t="s">
        <v>1385</v>
      </c>
      <c r="G443" t="s">
        <v>1386</v>
      </c>
      <c r="H443" t="s">
        <v>1442</v>
      </c>
      <c r="I443" t="s">
        <v>1443</v>
      </c>
      <c r="J443" t="s">
        <v>28</v>
      </c>
      <c r="K443" t="s">
        <v>1392</v>
      </c>
      <c r="L443" t="s">
        <v>30</v>
      </c>
      <c r="M443" s="2" t="s">
        <v>30</v>
      </c>
      <c r="N443" t="s">
        <v>22</v>
      </c>
      <c r="O443" t="s">
        <v>1444</v>
      </c>
    </row>
    <row r="444" spans="1:15" x14ac:dyDescent="0.25">
      <c r="A444" t="s">
        <v>1382</v>
      </c>
      <c r="B444" t="s">
        <v>1382</v>
      </c>
      <c r="C444" t="s">
        <v>1440</v>
      </c>
      <c r="D444" t="s">
        <v>1101</v>
      </c>
      <c r="E444" t="s">
        <v>1441</v>
      </c>
      <c r="F444" t="s">
        <v>1385</v>
      </c>
      <c r="G444" t="s">
        <v>1386</v>
      </c>
      <c r="H444" t="s">
        <v>1445</v>
      </c>
      <c r="I444" t="s">
        <v>1446</v>
      </c>
      <c r="J444" t="s">
        <v>28</v>
      </c>
      <c r="K444" t="s">
        <v>1392</v>
      </c>
      <c r="L444" t="s">
        <v>30</v>
      </c>
      <c r="M444" s="2" t="s">
        <v>30</v>
      </c>
      <c r="N444" t="s">
        <v>22</v>
      </c>
      <c r="O444" t="s">
        <v>1444</v>
      </c>
    </row>
    <row r="445" spans="1:15" x14ac:dyDescent="0.25">
      <c r="A445" t="s">
        <v>1382</v>
      </c>
      <c r="B445" t="s">
        <v>1382</v>
      </c>
      <c r="C445" t="s">
        <v>1440</v>
      </c>
      <c r="D445" t="s">
        <v>1101</v>
      </c>
      <c r="E445" t="s">
        <v>1441</v>
      </c>
      <c r="F445" t="s">
        <v>1385</v>
      </c>
      <c r="G445" t="s">
        <v>1386</v>
      </c>
      <c r="H445" t="s">
        <v>1447</v>
      </c>
      <c r="I445" t="s">
        <v>1448</v>
      </c>
      <c r="J445" t="s">
        <v>28</v>
      </c>
      <c r="K445" t="s">
        <v>118</v>
      </c>
      <c r="L445" t="s">
        <v>30</v>
      </c>
      <c r="M445" s="2" t="s">
        <v>30</v>
      </c>
    </row>
    <row r="446" spans="1:15" x14ac:dyDescent="0.25">
      <c r="A446" t="s">
        <v>1382</v>
      </c>
      <c r="B446" t="s">
        <v>1382</v>
      </c>
      <c r="C446" t="s">
        <v>1440</v>
      </c>
      <c r="D446" t="s">
        <v>1101</v>
      </c>
      <c r="E446" t="s">
        <v>1441</v>
      </c>
      <c r="F446" t="s">
        <v>1385</v>
      </c>
      <c r="G446" t="s">
        <v>1386</v>
      </c>
      <c r="H446" t="s">
        <v>1449</v>
      </c>
      <c r="I446" t="s">
        <v>1450</v>
      </c>
      <c r="J446" t="s">
        <v>28</v>
      </c>
      <c r="K446" t="s">
        <v>118</v>
      </c>
      <c r="L446" t="s">
        <v>30</v>
      </c>
      <c r="M446" s="2" t="s">
        <v>30</v>
      </c>
      <c r="N446" t="s">
        <v>22</v>
      </c>
      <c r="O446" t="s">
        <v>1451</v>
      </c>
    </row>
    <row r="447" spans="1:15" x14ac:dyDescent="0.25">
      <c r="A447" t="s">
        <v>1382</v>
      </c>
      <c r="B447" t="s">
        <v>1382</v>
      </c>
      <c r="C447" t="s">
        <v>1452</v>
      </c>
      <c r="D447" t="s">
        <v>1101</v>
      </c>
      <c r="E447" t="s">
        <v>1453</v>
      </c>
      <c r="F447" t="s">
        <v>1385</v>
      </c>
      <c r="G447" t="s">
        <v>756</v>
      </c>
      <c r="H447" t="s">
        <v>1454</v>
      </c>
      <c r="I447" t="s">
        <v>1455</v>
      </c>
      <c r="J447" t="s">
        <v>28</v>
      </c>
      <c r="K447" t="s">
        <v>118</v>
      </c>
      <c r="L447" t="s">
        <v>30</v>
      </c>
      <c r="M447" s="2" t="s">
        <v>30</v>
      </c>
    </row>
    <row r="448" spans="1:15" x14ac:dyDescent="0.25">
      <c r="A448" t="s">
        <v>1382</v>
      </c>
      <c r="B448" t="s">
        <v>1382</v>
      </c>
      <c r="C448" t="s">
        <v>1452</v>
      </c>
      <c r="D448" t="s">
        <v>1101</v>
      </c>
      <c r="E448" t="s">
        <v>1453</v>
      </c>
      <c r="F448" t="s">
        <v>1385</v>
      </c>
      <c r="G448" t="s">
        <v>756</v>
      </c>
      <c r="H448" t="s">
        <v>1456</v>
      </c>
      <c r="I448" t="s">
        <v>1457</v>
      </c>
      <c r="J448" t="s">
        <v>28</v>
      </c>
      <c r="K448" t="s">
        <v>118</v>
      </c>
      <c r="L448" t="s">
        <v>30</v>
      </c>
      <c r="M448" s="2" t="s">
        <v>30</v>
      </c>
    </row>
    <row r="449" spans="1:18" x14ac:dyDescent="0.25">
      <c r="A449" t="s">
        <v>1382</v>
      </c>
      <c r="B449" t="s">
        <v>1382</v>
      </c>
      <c r="C449" t="s">
        <v>1452</v>
      </c>
      <c r="D449" t="s">
        <v>1101</v>
      </c>
      <c r="E449" t="s">
        <v>1453</v>
      </c>
      <c r="F449" t="s">
        <v>1385</v>
      </c>
      <c r="G449" t="s">
        <v>756</v>
      </c>
      <c r="H449" t="s">
        <v>1458</v>
      </c>
      <c r="I449" t="s">
        <v>1459</v>
      </c>
      <c r="J449" t="s">
        <v>28</v>
      </c>
      <c r="K449" t="s">
        <v>618</v>
      </c>
      <c r="L449" t="s">
        <v>30</v>
      </c>
      <c r="M449" s="2" t="s">
        <v>30</v>
      </c>
      <c r="O449" t="s">
        <v>1460</v>
      </c>
      <c r="P449" t="s">
        <v>126</v>
      </c>
    </row>
    <row r="450" spans="1:18" x14ac:dyDescent="0.25">
      <c r="A450" t="s">
        <v>1382</v>
      </c>
      <c r="B450" t="s">
        <v>1382</v>
      </c>
      <c r="C450" t="s">
        <v>1452</v>
      </c>
      <c r="D450" t="s">
        <v>1101</v>
      </c>
      <c r="E450" t="s">
        <v>1453</v>
      </c>
      <c r="F450" t="s">
        <v>1385</v>
      </c>
      <c r="G450" t="s">
        <v>756</v>
      </c>
      <c r="H450" t="s">
        <v>1461</v>
      </c>
      <c r="I450" t="s">
        <v>1462</v>
      </c>
      <c r="J450" t="s">
        <v>28</v>
      </c>
      <c r="K450" t="s">
        <v>118</v>
      </c>
      <c r="L450" t="s">
        <v>30</v>
      </c>
      <c r="M450" s="2" t="s">
        <v>30</v>
      </c>
    </row>
    <row r="451" spans="1:18" x14ac:dyDescent="0.25">
      <c r="A451" t="s">
        <v>1382</v>
      </c>
      <c r="B451" t="s">
        <v>1382</v>
      </c>
      <c r="C451" t="s">
        <v>1463</v>
      </c>
      <c r="D451" t="s">
        <v>1091</v>
      </c>
      <c r="E451" t="s">
        <v>1464</v>
      </c>
      <c r="F451" t="s">
        <v>1385</v>
      </c>
      <c r="G451" t="s">
        <v>1465</v>
      </c>
      <c r="H451" t="s">
        <v>1466</v>
      </c>
      <c r="I451" t="s">
        <v>1467</v>
      </c>
      <c r="J451" t="s">
        <v>28</v>
      </c>
      <c r="K451" t="s">
        <v>118</v>
      </c>
      <c r="L451" t="s">
        <v>30</v>
      </c>
      <c r="M451" s="2" t="s">
        <v>30</v>
      </c>
      <c r="N451" t="s">
        <v>22</v>
      </c>
      <c r="O451" t="s">
        <v>1468</v>
      </c>
      <c r="R451" t="s">
        <v>634</v>
      </c>
    </row>
    <row r="452" spans="1:18" x14ac:dyDescent="0.25">
      <c r="A452" t="s">
        <v>1382</v>
      </c>
      <c r="B452" t="s">
        <v>1382</v>
      </c>
      <c r="C452" t="s">
        <v>1463</v>
      </c>
      <c r="D452" t="s">
        <v>1091</v>
      </c>
      <c r="E452" t="s">
        <v>1464</v>
      </c>
      <c r="F452" t="s">
        <v>1385</v>
      </c>
      <c r="G452" t="s">
        <v>1465</v>
      </c>
      <c r="H452" t="s">
        <v>1469</v>
      </c>
      <c r="I452" t="s">
        <v>1470</v>
      </c>
      <c r="J452" t="s">
        <v>28</v>
      </c>
      <c r="K452" t="s">
        <v>118</v>
      </c>
      <c r="L452" t="s">
        <v>30</v>
      </c>
      <c r="M452" s="2" t="s">
        <v>30</v>
      </c>
      <c r="N452" t="s">
        <v>22</v>
      </c>
      <c r="O452" t="s">
        <v>1468</v>
      </c>
      <c r="R452" t="s">
        <v>634</v>
      </c>
    </row>
    <row r="453" spans="1:18" x14ac:dyDescent="0.25">
      <c r="A453" t="s">
        <v>1382</v>
      </c>
      <c r="B453" t="s">
        <v>1382</v>
      </c>
      <c r="C453" t="s">
        <v>1463</v>
      </c>
      <c r="D453" t="s">
        <v>1091</v>
      </c>
      <c r="E453" t="s">
        <v>1464</v>
      </c>
      <c r="F453" t="s">
        <v>1385</v>
      </c>
      <c r="G453" t="s">
        <v>1465</v>
      </c>
      <c r="H453" t="s">
        <v>1471</v>
      </c>
      <c r="I453" t="s">
        <v>1472</v>
      </c>
      <c r="J453" t="s">
        <v>28</v>
      </c>
      <c r="K453" t="s">
        <v>118</v>
      </c>
      <c r="L453" t="s">
        <v>30</v>
      </c>
      <c r="M453" s="2" t="s">
        <v>30</v>
      </c>
      <c r="N453" t="s">
        <v>22</v>
      </c>
      <c r="O453" t="s">
        <v>1468</v>
      </c>
      <c r="R453" t="s">
        <v>634</v>
      </c>
    </row>
    <row r="454" spans="1:18" x14ac:dyDescent="0.25">
      <c r="A454" t="s">
        <v>1382</v>
      </c>
      <c r="B454" t="s">
        <v>1382</v>
      </c>
      <c r="C454" t="s">
        <v>1463</v>
      </c>
      <c r="D454" t="s">
        <v>1091</v>
      </c>
      <c r="E454" t="s">
        <v>1464</v>
      </c>
      <c r="F454" t="s">
        <v>1385</v>
      </c>
      <c r="G454" t="s">
        <v>1465</v>
      </c>
      <c r="H454" t="s">
        <v>1473</v>
      </c>
      <c r="I454" t="s">
        <v>1474</v>
      </c>
      <c r="J454" t="s">
        <v>28</v>
      </c>
      <c r="L454" t="s">
        <v>52</v>
      </c>
      <c r="M454" s="3" t="s">
        <v>52</v>
      </c>
      <c r="R454" t="s">
        <v>634</v>
      </c>
    </row>
    <row r="455" spans="1:18" x14ac:dyDescent="0.25">
      <c r="A455" t="s">
        <v>1382</v>
      </c>
      <c r="B455" t="s">
        <v>1382</v>
      </c>
      <c r="C455" t="s">
        <v>1463</v>
      </c>
      <c r="D455" t="s">
        <v>1091</v>
      </c>
      <c r="E455" t="s">
        <v>1464</v>
      </c>
      <c r="F455" t="s">
        <v>1385</v>
      </c>
      <c r="G455" t="s">
        <v>1465</v>
      </c>
      <c r="H455" t="s">
        <v>1475</v>
      </c>
      <c r="I455" t="s">
        <v>1476</v>
      </c>
      <c r="J455" t="s">
        <v>28</v>
      </c>
      <c r="L455" t="s">
        <v>52</v>
      </c>
      <c r="M455" s="3" t="s">
        <v>52</v>
      </c>
      <c r="R455" t="s">
        <v>634</v>
      </c>
    </row>
    <row r="456" spans="1:18" x14ac:dyDescent="0.25">
      <c r="A456" t="s">
        <v>1477</v>
      </c>
      <c r="B456" t="s">
        <v>1477</v>
      </c>
      <c r="C456" t="s">
        <v>1478</v>
      </c>
      <c r="D456" t="s">
        <v>22</v>
      </c>
      <c r="E456" t="s">
        <v>1479</v>
      </c>
      <c r="F456" t="s">
        <v>1480</v>
      </c>
      <c r="G456" t="s">
        <v>1481</v>
      </c>
      <c r="H456" t="s">
        <v>1482</v>
      </c>
      <c r="I456" t="s">
        <v>1483</v>
      </c>
      <c r="J456" t="s">
        <v>28</v>
      </c>
      <c r="K456" t="s">
        <v>1484</v>
      </c>
      <c r="L456" t="s">
        <v>30</v>
      </c>
      <c r="M456" s="2" t="s">
        <v>30</v>
      </c>
    </row>
    <row r="457" spans="1:18" x14ac:dyDescent="0.25">
      <c r="A457" t="s">
        <v>1477</v>
      </c>
      <c r="B457" t="s">
        <v>1477</v>
      </c>
      <c r="C457" t="s">
        <v>1485</v>
      </c>
      <c r="D457" t="s">
        <v>78</v>
      </c>
      <c r="E457" t="s">
        <v>1486</v>
      </c>
      <c r="F457" t="s">
        <v>1480</v>
      </c>
      <c r="G457" t="s">
        <v>52</v>
      </c>
      <c r="H457" t="s">
        <v>1487</v>
      </c>
      <c r="I457" t="s">
        <v>1259</v>
      </c>
      <c r="J457" t="s">
        <v>28</v>
      </c>
      <c r="L457" t="s">
        <v>52</v>
      </c>
      <c r="M457" s="3" t="s">
        <v>52</v>
      </c>
    </row>
    <row r="458" spans="1:18" x14ac:dyDescent="0.25">
      <c r="A458" t="s">
        <v>1477</v>
      </c>
      <c r="B458" t="s">
        <v>1477</v>
      </c>
      <c r="C458" t="s">
        <v>1488</v>
      </c>
      <c r="D458" t="s">
        <v>78</v>
      </c>
      <c r="E458" t="s">
        <v>1489</v>
      </c>
      <c r="F458" t="s">
        <v>1480</v>
      </c>
      <c r="G458" t="s">
        <v>1490</v>
      </c>
      <c r="H458" t="s">
        <v>1491</v>
      </c>
      <c r="I458" t="s">
        <v>1492</v>
      </c>
      <c r="J458" t="s">
        <v>28</v>
      </c>
      <c r="K458" t="s">
        <v>1493</v>
      </c>
      <c r="L458" t="s">
        <v>30</v>
      </c>
      <c r="M458" s="2" t="s">
        <v>30</v>
      </c>
      <c r="O458" t="s">
        <v>1494</v>
      </c>
      <c r="Q458" t="s">
        <v>1495</v>
      </c>
    </row>
    <row r="459" spans="1:18" x14ac:dyDescent="0.25">
      <c r="A459" t="s">
        <v>1477</v>
      </c>
      <c r="B459" t="s">
        <v>1477</v>
      </c>
      <c r="C459" t="s">
        <v>1488</v>
      </c>
      <c r="D459" t="s">
        <v>78</v>
      </c>
      <c r="E459" t="s">
        <v>1496</v>
      </c>
      <c r="F459" t="s">
        <v>1480</v>
      </c>
      <c r="G459" t="s">
        <v>1490</v>
      </c>
      <c r="H459" t="s">
        <v>1497</v>
      </c>
      <c r="I459" t="s">
        <v>1498</v>
      </c>
      <c r="J459" t="s">
        <v>28</v>
      </c>
      <c r="K459" t="s">
        <v>1493</v>
      </c>
      <c r="L459" t="s">
        <v>30</v>
      </c>
      <c r="M459" s="2" t="s">
        <v>30</v>
      </c>
      <c r="O459" t="s">
        <v>1499</v>
      </c>
      <c r="Q459" t="s">
        <v>1495</v>
      </c>
    </row>
    <row r="460" spans="1:18" x14ac:dyDescent="0.25">
      <c r="A460" t="s">
        <v>1477</v>
      </c>
      <c r="B460" t="s">
        <v>1477</v>
      </c>
      <c r="C460" t="s">
        <v>1488</v>
      </c>
      <c r="D460" t="s">
        <v>78</v>
      </c>
      <c r="E460" t="s">
        <v>1496</v>
      </c>
      <c r="F460" t="s">
        <v>1480</v>
      </c>
      <c r="G460" t="s">
        <v>1490</v>
      </c>
      <c r="H460" t="s">
        <v>1500</v>
      </c>
      <c r="I460" t="s">
        <v>912</v>
      </c>
      <c r="J460" t="s">
        <v>28</v>
      </c>
      <c r="K460" t="s">
        <v>1501</v>
      </c>
      <c r="L460" t="s">
        <v>30</v>
      </c>
      <c r="M460" s="2" t="s">
        <v>30</v>
      </c>
      <c r="O460" t="s">
        <v>1502</v>
      </c>
    </row>
    <row r="461" spans="1:18" x14ac:dyDescent="0.25">
      <c r="A461" t="s">
        <v>1477</v>
      </c>
      <c r="B461" t="s">
        <v>1477</v>
      </c>
      <c r="C461" t="s">
        <v>1488</v>
      </c>
      <c r="D461" t="s">
        <v>78</v>
      </c>
      <c r="E461" t="s">
        <v>1496</v>
      </c>
      <c r="F461" t="s">
        <v>1480</v>
      </c>
      <c r="G461" t="s">
        <v>1490</v>
      </c>
      <c r="H461" t="s">
        <v>1503</v>
      </c>
      <c r="I461" t="s">
        <v>1504</v>
      </c>
      <c r="J461" t="s">
        <v>28</v>
      </c>
      <c r="K461" t="s">
        <v>1493</v>
      </c>
      <c r="L461" t="s">
        <v>30</v>
      </c>
      <c r="M461" s="2" t="s">
        <v>30</v>
      </c>
      <c r="O461" t="s">
        <v>1505</v>
      </c>
      <c r="Q461" t="s">
        <v>1506</v>
      </c>
    </row>
    <row r="462" spans="1:18" x14ac:dyDescent="0.25">
      <c r="A462" t="s">
        <v>1477</v>
      </c>
      <c r="B462" t="s">
        <v>1477</v>
      </c>
      <c r="C462" t="s">
        <v>1507</v>
      </c>
      <c r="D462" t="s">
        <v>78</v>
      </c>
      <c r="E462" t="s">
        <v>1508</v>
      </c>
      <c r="F462" t="s">
        <v>1480</v>
      </c>
      <c r="G462" t="s">
        <v>1481</v>
      </c>
      <c r="H462" t="s">
        <v>1509</v>
      </c>
      <c r="I462" t="s">
        <v>1510</v>
      </c>
      <c r="J462" t="s">
        <v>28</v>
      </c>
      <c r="K462" t="s">
        <v>124</v>
      </c>
      <c r="L462" t="s">
        <v>30</v>
      </c>
      <c r="M462" s="2" t="s">
        <v>30</v>
      </c>
    </row>
    <row r="463" spans="1:18" x14ac:dyDescent="0.25">
      <c r="A463" t="s">
        <v>1477</v>
      </c>
      <c r="B463" t="s">
        <v>1477</v>
      </c>
      <c r="C463" t="s">
        <v>1507</v>
      </c>
      <c r="D463" t="s">
        <v>78</v>
      </c>
      <c r="E463" t="s">
        <v>1508</v>
      </c>
      <c r="F463" t="s">
        <v>1480</v>
      </c>
      <c r="G463" t="s">
        <v>1481</v>
      </c>
      <c r="H463" t="s">
        <v>1511</v>
      </c>
      <c r="I463" t="s">
        <v>1512</v>
      </c>
      <c r="J463" t="s">
        <v>28</v>
      </c>
      <c r="K463" t="s">
        <v>124</v>
      </c>
      <c r="L463" t="s">
        <v>30</v>
      </c>
      <c r="M463" s="2" t="s">
        <v>30</v>
      </c>
    </row>
    <row r="464" spans="1:18" x14ac:dyDescent="0.25">
      <c r="A464" t="s">
        <v>1477</v>
      </c>
      <c r="B464" t="s">
        <v>1477</v>
      </c>
      <c r="C464" t="s">
        <v>1507</v>
      </c>
      <c r="D464" t="s">
        <v>78</v>
      </c>
      <c r="E464" t="s">
        <v>1508</v>
      </c>
      <c r="F464" t="s">
        <v>1480</v>
      </c>
      <c r="G464" t="s">
        <v>1481</v>
      </c>
      <c r="H464" t="s">
        <v>1513</v>
      </c>
      <c r="I464" t="s">
        <v>1514</v>
      </c>
      <c r="J464" t="s">
        <v>28</v>
      </c>
      <c r="K464" t="s">
        <v>124</v>
      </c>
      <c r="L464" t="s">
        <v>30</v>
      </c>
      <c r="M464" s="2" t="s">
        <v>30</v>
      </c>
    </row>
    <row r="465" spans="1:18" x14ac:dyDescent="0.25">
      <c r="A465" t="s">
        <v>1477</v>
      </c>
      <c r="B465" t="s">
        <v>1477</v>
      </c>
      <c r="C465" t="s">
        <v>1507</v>
      </c>
      <c r="D465" t="s">
        <v>78</v>
      </c>
      <c r="E465" t="s">
        <v>1508</v>
      </c>
      <c r="F465" t="s">
        <v>1480</v>
      </c>
      <c r="G465" t="s">
        <v>1481</v>
      </c>
      <c r="H465" t="s">
        <v>1515</v>
      </c>
      <c r="I465" t="s">
        <v>912</v>
      </c>
      <c r="J465" t="s">
        <v>28</v>
      </c>
      <c r="K465" t="s">
        <v>124</v>
      </c>
      <c r="L465" t="s">
        <v>30</v>
      </c>
      <c r="M465" s="2" t="s">
        <v>30</v>
      </c>
    </row>
    <row r="466" spans="1:18" x14ac:dyDescent="0.25">
      <c r="A466" t="s">
        <v>1477</v>
      </c>
      <c r="B466" t="s">
        <v>1477</v>
      </c>
      <c r="C466" t="s">
        <v>1507</v>
      </c>
      <c r="D466" t="s">
        <v>78</v>
      </c>
      <c r="E466" t="s">
        <v>1508</v>
      </c>
      <c r="F466" t="s">
        <v>1480</v>
      </c>
      <c r="G466" t="s">
        <v>1481</v>
      </c>
      <c r="H466" t="s">
        <v>1516</v>
      </c>
      <c r="I466" t="s">
        <v>1517</v>
      </c>
      <c r="J466" t="s">
        <v>28</v>
      </c>
      <c r="K466" t="s">
        <v>124</v>
      </c>
      <c r="L466" t="s">
        <v>30</v>
      </c>
      <c r="M466" s="2" t="s">
        <v>30</v>
      </c>
    </row>
    <row r="467" spans="1:18" x14ac:dyDescent="0.25">
      <c r="A467" t="s">
        <v>1477</v>
      </c>
      <c r="B467" t="s">
        <v>1477</v>
      </c>
      <c r="C467" t="s">
        <v>1518</v>
      </c>
      <c r="D467" t="s">
        <v>59</v>
      </c>
      <c r="E467" t="s">
        <v>1519</v>
      </c>
      <c r="F467" t="s">
        <v>1480</v>
      </c>
      <c r="G467" t="s">
        <v>62</v>
      </c>
      <c r="H467" t="s">
        <v>1520</v>
      </c>
      <c r="I467" t="s">
        <v>1521</v>
      </c>
      <c r="J467" t="s">
        <v>28</v>
      </c>
      <c r="K467" t="s">
        <v>1484</v>
      </c>
      <c r="L467" t="s">
        <v>30</v>
      </c>
      <c r="M467" s="2" t="s">
        <v>30</v>
      </c>
      <c r="O467" t="s">
        <v>1522</v>
      </c>
    </row>
    <row r="468" spans="1:18" x14ac:dyDescent="0.25">
      <c r="A468" t="s">
        <v>1477</v>
      </c>
      <c r="B468" t="s">
        <v>1477</v>
      </c>
      <c r="C468" t="s">
        <v>1518</v>
      </c>
      <c r="D468" t="s">
        <v>59</v>
      </c>
      <c r="E468" t="s">
        <v>1519</v>
      </c>
      <c r="F468" t="s">
        <v>1480</v>
      </c>
      <c r="G468" t="s">
        <v>62</v>
      </c>
      <c r="H468" t="s">
        <v>1523</v>
      </c>
      <c r="I468" t="s">
        <v>1524</v>
      </c>
      <c r="J468" t="s">
        <v>28</v>
      </c>
      <c r="L468" t="s">
        <v>52</v>
      </c>
      <c r="M468" s="3" t="s">
        <v>52</v>
      </c>
    </row>
    <row r="469" spans="1:18" x14ac:dyDescent="0.25">
      <c r="A469" t="s">
        <v>1477</v>
      </c>
      <c r="B469" t="s">
        <v>1477</v>
      </c>
      <c r="C469" t="s">
        <v>1518</v>
      </c>
      <c r="D469" t="s">
        <v>59</v>
      </c>
      <c r="E469" t="s">
        <v>1519</v>
      </c>
      <c r="F469" t="s">
        <v>1480</v>
      </c>
      <c r="G469" t="s">
        <v>62</v>
      </c>
      <c r="H469" t="s">
        <v>1525</v>
      </c>
      <c r="I469" t="s">
        <v>1526</v>
      </c>
      <c r="J469" t="s">
        <v>28</v>
      </c>
      <c r="K469" t="s">
        <v>1484</v>
      </c>
      <c r="L469" t="s">
        <v>181</v>
      </c>
      <c r="M469" s="4" t="s">
        <v>182</v>
      </c>
      <c r="N469" t="s">
        <v>1525</v>
      </c>
      <c r="O469" t="s">
        <v>1522</v>
      </c>
    </row>
    <row r="470" spans="1:18" x14ac:dyDescent="0.25">
      <c r="A470" t="s">
        <v>1477</v>
      </c>
      <c r="B470" t="s">
        <v>1477</v>
      </c>
      <c r="C470" t="s">
        <v>1518</v>
      </c>
      <c r="D470" t="s">
        <v>59</v>
      </c>
      <c r="E470" t="s">
        <v>1519</v>
      </c>
      <c r="F470" t="s">
        <v>1480</v>
      </c>
      <c r="G470" t="s">
        <v>62</v>
      </c>
      <c r="H470" t="s">
        <v>1527</v>
      </c>
      <c r="I470" t="s">
        <v>1528</v>
      </c>
      <c r="J470" t="s">
        <v>28</v>
      </c>
      <c r="K470" t="s">
        <v>177</v>
      </c>
      <c r="L470" t="s">
        <v>30</v>
      </c>
      <c r="M470" s="2" t="s">
        <v>30</v>
      </c>
      <c r="O470" t="s">
        <v>1522</v>
      </c>
    </row>
    <row r="471" spans="1:18" x14ac:dyDescent="0.25">
      <c r="A471" t="s">
        <v>1477</v>
      </c>
      <c r="B471" t="s">
        <v>1477</v>
      </c>
      <c r="C471" t="s">
        <v>1529</v>
      </c>
      <c r="D471" t="s">
        <v>78</v>
      </c>
      <c r="E471" t="s">
        <v>1486</v>
      </c>
      <c r="F471" t="s">
        <v>1480</v>
      </c>
      <c r="G471" t="s">
        <v>52</v>
      </c>
      <c r="H471" t="s">
        <v>1530</v>
      </c>
      <c r="I471" t="s">
        <v>1259</v>
      </c>
      <c r="J471" t="s">
        <v>28</v>
      </c>
      <c r="L471" t="s">
        <v>52</v>
      </c>
      <c r="M471" s="3" t="s">
        <v>52</v>
      </c>
    </row>
    <row r="472" spans="1:18" x14ac:dyDescent="0.25">
      <c r="A472" t="s">
        <v>1477</v>
      </c>
      <c r="B472" t="s">
        <v>1477</v>
      </c>
      <c r="C472" t="s">
        <v>1529</v>
      </c>
      <c r="D472" t="s">
        <v>1531</v>
      </c>
      <c r="E472" t="s">
        <v>1532</v>
      </c>
      <c r="F472" t="s">
        <v>1480</v>
      </c>
      <c r="G472" t="s">
        <v>1533</v>
      </c>
      <c r="H472" t="s">
        <v>1534</v>
      </c>
      <c r="I472" t="s">
        <v>1535</v>
      </c>
      <c r="J472" t="s">
        <v>28</v>
      </c>
      <c r="K472" t="s">
        <v>174</v>
      </c>
      <c r="L472" t="s">
        <v>181</v>
      </c>
      <c r="M472" s="4" t="s">
        <v>182</v>
      </c>
      <c r="N472" t="s">
        <v>1534</v>
      </c>
      <c r="O472" t="s">
        <v>1536</v>
      </c>
      <c r="R472" t="s">
        <v>1125</v>
      </c>
    </row>
    <row r="473" spans="1:18" x14ac:dyDescent="0.25">
      <c r="A473" t="s">
        <v>1477</v>
      </c>
      <c r="B473" t="s">
        <v>1477</v>
      </c>
      <c r="C473" t="s">
        <v>1529</v>
      </c>
      <c r="D473" t="s">
        <v>1531</v>
      </c>
      <c r="E473" t="s">
        <v>1532</v>
      </c>
      <c r="F473" t="s">
        <v>1480</v>
      </c>
      <c r="G473" t="s">
        <v>1533</v>
      </c>
      <c r="H473" t="s">
        <v>1537</v>
      </c>
      <c r="I473" t="s">
        <v>1538</v>
      </c>
      <c r="J473" t="s">
        <v>28</v>
      </c>
      <c r="K473" t="s">
        <v>1501</v>
      </c>
      <c r="L473" t="s">
        <v>30</v>
      </c>
      <c r="M473" s="2" t="s">
        <v>30</v>
      </c>
      <c r="R473" t="s">
        <v>1125</v>
      </c>
    </row>
    <row r="474" spans="1:18" x14ac:dyDescent="0.25">
      <c r="A474" t="s">
        <v>1477</v>
      </c>
      <c r="B474" t="s">
        <v>1477</v>
      </c>
      <c r="C474" t="s">
        <v>1529</v>
      </c>
      <c r="D474" t="s">
        <v>1531</v>
      </c>
      <c r="E474" t="s">
        <v>1532</v>
      </c>
      <c r="F474" t="s">
        <v>1480</v>
      </c>
      <c r="G474" t="s">
        <v>1533</v>
      </c>
      <c r="H474" t="s">
        <v>1539</v>
      </c>
      <c r="I474" t="s">
        <v>1540</v>
      </c>
      <c r="J474" t="s">
        <v>28</v>
      </c>
      <c r="K474" t="s">
        <v>174</v>
      </c>
      <c r="L474" t="s">
        <v>30</v>
      </c>
      <c r="M474" s="2" t="s">
        <v>30</v>
      </c>
      <c r="O474" t="s">
        <v>1541</v>
      </c>
    </row>
    <row r="475" spans="1:18" x14ac:dyDescent="0.25">
      <c r="A475" t="s">
        <v>1477</v>
      </c>
      <c r="B475" t="s">
        <v>1477</v>
      </c>
      <c r="C475" t="s">
        <v>1529</v>
      </c>
      <c r="D475" t="s">
        <v>1531</v>
      </c>
      <c r="E475" t="s">
        <v>1532</v>
      </c>
      <c r="F475" t="s">
        <v>1480</v>
      </c>
      <c r="G475" t="s">
        <v>1533</v>
      </c>
      <c r="H475" t="s">
        <v>1542</v>
      </c>
      <c r="I475" t="s">
        <v>1543</v>
      </c>
      <c r="J475" t="s">
        <v>28</v>
      </c>
      <c r="K475" t="s">
        <v>36</v>
      </c>
      <c r="L475" t="s">
        <v>52</v>
      </c>
      <c r="M475" s="3" t="s">
        <v>52</v>
      </c>
      <c r="O475" t="s">
        <v>1544</v>
      </c>
    </row>
    <row r="476" spans="1:18" x14ac:dyDescent="0.25">
      <c r="A476" t="s">
        <v>1477</v>
      </c>
      <c r="B476" t="s">
        <v>1477</v>
      </c>
      <c r="C476" t="s">
        <v>1529</v>
      </c>
      <c r="D476" t="s">
        <v>1531</v>
      </c>
      <c r="E476" t="s">
        <v>1532</v>
      </c>
      <c r="F476" t="s">
        <v>1480</v>
      </c>
      <c r="G476" t="s">
        <v>1533</v>
      </c>
      <c r="H476" t="s">
        <v>1545</v>
      </c>
      <c r="I476" t="s">
        <v>1546</v>
      </c>
      <c r="J476" t="s">
        <v>28</v>
      </c>
      <c r="K476" t="s">
        <v>1501</v>
      </c>
      <c r="L476" t="s">
        <v>30</v>
      </c>
      <c r="M476" s="2" t="s">
        <v>30</v>
      </c>
      <c r="O476" t="s">
        <v>1547</v>
      </c>
    </row>
    <row r="477" spans="1:18" x14ac:dyDescent="0.25">
      <c r="A477" t="s">
        <v>1477</v>
      </c>
      <c r="B477" t="s">
        <v>1477</v>
      </c>
      <c r="C477" t="s">
        <v>1529</v>
      </c>
      <c r="D477" t="s">
        <v>1531</v>
      </c>
      <c r="E477" t="s">
        <v>1532</v>
      </c>
      <c r="F477" t="s">
        <v>1480</v>
      </c>
      <c r="G477" t="s">
        <v>1533</v>
      </c>
      <c r="H477" t="s">
        <v>1548</v>
      </c>
      <c r="I477" t="s">
        <v>912</v>
      </c>
      <c r="J477" t="s">
        <v>28</v>
      </c>
      <c r="K477" t="s">
        <v>36</v>
      </c>
      <c r="L477" t="s">
        <v>52</v>
      </c>
      <c r="M477" s="3" t="s">
        <v>52</v>
      </c>
      <c r="O477" t="s">
        <v>1549</v>
      </c>
    </row>
    <row r="478" spans="1:18" x14ac:dyDescent="0.25">
      <c r="A478" t="s">
        <v>1477</v>
      </c>
      <c r="B478" t="s">
        <v>1477</v>
      </c>
      <c r="C478" t="s">
        <v>1529</v>
      </c>
      <c r="D478" t="s">
        <v>1531</v>
      </c>
      <c r="E478" t="s">
        <v>1532</v>
      </c>
      <c r="F478" t="s">
        <v>1480</v>
      </c>
      <c r="G478" t="s">
        <v>1533</v>
      </c>
      <c r="H478" t="s">
        <v>1550</v>
      </c>
      <c r="I478" t="s">
        <v>1551</v>
      </c>
      <c r="J478" t="s">
        <v>126</v>
      </c>
      <c r="K478" t="s">
        <v>1501</v>
      </c>
      <c r="L478" t="s">
        <v>30</v>
      </c>
      <c r="M478" s="2" t="s">
        <v>30</v>
      </c>
    </row>
    <row r="479" spans="1:18" x14ac:dyDescent="0.25">
      <c r="A479" t="s">
        <v>1477</v>
      </c>
      <c r="B479" t="s">
        <v>1477</v>
      </c>
      <c r="C479" t="s">
        <v>1552</v>
      </c>
      <c r="D479" t="s">
        <v>1531</v>
      </c>
      <c r="E479" t="s">
        <v>1553</v>
      </c>
      <c r="F479" t="s">
        <v>1480</v>
      </c>
      <c r="G479" t="s">
        <v>115</v>
      </c>
      <c r="H479" t="s">
        <v>1554</v>
      </c>
      <c r="I479" t="s">
        <v>1555</v>
      </c>
      <c r="J479" t="s">
        <v>28</v>
      </c>
      <c r="K479" t="s">
        <v>1484</v>
      </c>
      <c r="L479" t="s">
        <v>30</v>
      </c>
      <c r="M479" s="2" t="s">
        <v>30</v>
      </c>
    </row>
    <row r="480" spans="1:18" x14ac:dyDescent="0.25">
      <c r="A480" t="s">
        <v>1477</v>
      </c>
      <c r="B480" t="s">
        <v>1477</v>
      </c>
      <c r="C480" t="s">
        <v>1552</v>
      </c>
      <c r="D480" t="s">
        <v>1531</v>
      </c>
      <c r="E480" t="s">
        <v>1553</v>
      </c>
      <c r="F480" t="s">
        <v>1480</v>
      </c>
      <c r="G480" t="s">
        <v>115</v>
      </c>
      <c r="H480" t="s">
        <v>1556</v>
      </c>
      <c r="I480" t="s">
        <v>1557</v>
      </c>
      <c r="J480" t="s">
        <v>28</v>
      </c>
      <c r="K480" t="s">
        <v>1484</v>
      </c>
      <c r="L480" t="s">
        <v>30</v>
      </c>
      <c r="M480" s="2" t="s">
        <v>30</v>
      </c>
    </row>
    <row r="481" spans="1:15" x14ac:dyDescent="0.25">
      <c r="A481" t="s">
        <v>1477</v>
      </c>
      <c r="B481" t="s">
        <v>1477</v>
      </c>
      <c r="C481" t="s">
        <v>1552</v>
      </c>
      <c r="D481" t="s">
        <v>1531</v>
      </c>
      <c r="E481" t="s">
        <v>1553</v>
      </c>
      <c r="F481" t="s">
        <v>1480</v>
      </c>
      <c r="G481" t="s">
        <v>115</v>
      </c>
      <c r="H481" t="s">
        <v>1558</v>
      </c>
      <c r="I481" t="s">
        <v>1559</v>
      </c>
      <c r="J481" t="s">
        <v>28</v>
      </c>
      <c r="K481" t="s">
        <v>1135</v>
      </c>
      <c r="L481" t="s">
        <v>30</v>
      </c>
      <c r="M481" s="2" t="s">
        <v>30</v>
      </c>
      <c r="O481" t="s">
        <v>1560</v>
      </c>
    </row>
    <row r="482" spans="1:15" x14ac:dyDescent="0.25">
      <c r="A482" t="s">
        <v>1477</v>
      </c>
      <c r="B482" t="s">
        <v>1477</v>
      </c>
      <c r="C482" t="s">
        <v>1552</v>
      </c>
      <c r="D482" t="s">
        <v>1531</v>
      </c>
      <c r="E482" t="s">
        <v>1553</v>
      </c>
      <c r="F482" t="s">
        <v>1480</v>
      </c>
      <c r="G482" t="s">
        <v>115</v>
      </c>
      <c r="H482" t="s">
        <v>1561</v>
      </c>
      <c r="I482" t="s">
        <v>1562</v>
      </c>
      <c r="J482" t="s">
        <v>28</v>
      </c>
      <c r="L482" t="s">
        <v>52</v>
      </c>
      <c r="M482" s="3" t="s">
        <v>52</v>
      </c>
    </row>
    <row r="483" spans="1:15" x14ac:dyDescent="0.25">
      <c r="A483" t="s">
        <v>1477</v>
      </c>
      <c r="B483" t="s">
        <v>1477</v>
      </c>
      <c r="C483" t="s">
        <v>1552</v>
      </c>
      <c r="D483" t="s">
        <v>1531</v>
      </c>
      <c r="E483" t="s">
        <v>1553</v>
      </c>
      <c r="F483" t="s">
        <v>1480</v>
      </c>
      <c r="G483" t="s">
        <v>115</v>
      </c>
      <c r="H483" t="s">
        <v>1563</v>
      </c>
      <c r="I483" t="s">
        <v>1564</v>
      </c>
      <c r="J483" t="s">
        <v>28</v>
      </c>
      <c r="L483" t="s">
        <v>52</v>
      </c>
      <c r="M483" s="3" t="s">
        <v>52</v>
      </c>
      <c r="O483" t="s">
        <v>1565</v>
      </c>
    </row>
    <row r="484" spans="1:15" x14ac:dyDescent="0.25">
      <c r="A484" t="s">
        <v>1477</v>
      </c>
      <c r="B484" t="s">
        <v>1477</v>
      </c>
      <c r="C484" t="s">
        <v>1552</v>
      </c>
      <c r="D484" t="s">
        <v>1531</v>
      </c>
      <c r="E484" t="s">
        <v>1553</v>
      </c>
      <c r="F484" t="s">
        <v>1480</v>
      </c>
      <c r="G484" t="s">
        <v>115</v>
      </c>
      <c r="H484" t="s">
        <v>1566</v>
      </c>
      <c r="I484" t="s">
        <v>912</v>
      </c>
      <c r="J484" t="s">
        <v>28</v>
      </c>
      <c r="K484" t="s">
        <v>1501</v>
      </c>
      <c r="L484" t="s">
        <v>30</v>
      </c>
      <c r="M484" s="2" t="s">
        <v>30</v>
      </c>
      <c r="O484" t="s">
        <v>1567</v>
      </c>
    </row>
    <row r="485" spans="1:15" x14ac:dyDescent="0.25">
      <c r="A485" t="s">
        <v>1477</v>
      </c>
      <c r="B485" t="s">
        <v>1477</v>
      </c>
      <c r="C485" t="s">
        <v>1568</v>
      </c>
      <c r="D485" t="s">
        <v>1531</v>
      </c>
      <c r="E485" t="s">
        <v>1569</v>
      </c>
      <c r="F485" t="s">
        <v>1480</v>
      </c>
      <c r="G485" t="s">
        <v>115</v>
      </c>
      <c r="H485" t="s">
        <v>1570</v>
      </c>
      <c r="I485" t="s">
        <v>1571</v>
      </c>
      <c r="J485" t="s">
        <v>28</v>
      </c>
      <c r="K485" t="s">
        <v>1484</v>
      </c>
      <c r="L485" t="s">
        <v>30</v>
      </c>
      <c r="M485" s="2" t="s">
        <v>30</v>
      </c>
    </row>
    <row r="486" spans="1:15" x14ac:dyDescent="0.25">
      <c r="A486" t="s">
        <v>1477</v>
      </c>
      <c r="B486" t="s">
        <v>1477</v>
      </c>
      <c r="C486" t="s">
        <v>1568</v>
      </c>
      <c r="D486" t="s">
        <v>1531</v>
      </c>
      <c r="E486" t="s">
        <v>1569</v>
      </c>
      <c r="F486" t="s">
        <v>1480</v>
      </c>
      <c r="G486" t="s">
        <v>115</v>
      </c>
      <c r="H486" t="s">
        <v>1572</v>
      </c>
      <c r="I486" t="s">
        <v>1573</v>
      </c>
      <c r="J486" t="s">
        <v>28</v>
      </c>
      <c r="L486" t="s">
        <v>52</v>
      </c>
      <c r="M486" s="3" t="s">
        <v>52</v>
      </c>
      <c r="O486" t="s">
        <v>1560</v>
      </c>
    </row>
    <row r="487" spans="1:15" x14ac:dyDescent="0.25">
      <c r="A487" t="s">
        <v>1477</v>
      </c>
      <c r="B487" t="s">
        <v>1477</v>
      </c>
      <c r="C487" t="s">
        <v>1568</v>
      </c>
      <c r="D487" t="s">
        <v>1531</v>
      </c>
      <c r="E487" t="s">
        <v>1569</v>
      </c>
      <c r="F487" t="s">
        <v>1480</v>
      </c>
      <c r="G487" t="s">
        <v>115</v>
      </c>
      <c r="H487" t="s">
        <v>1574</v>
      </c>
      <c r="I487" t="s">
        <v>912</v>
      </c>
      <c r="J487" t="s">
        <v>28</v>
      </c>
      <c r="K487" t="s">
        <v>1135</v>
      </c>
      <c r="L487" s="85" t="s">
        <v>30</v>
      </c>
      <c r="M487" s="106" t="s">
        <v>30</v>
      </c>
      <c r="N487" t="s">
        <v>1574</v>
      </c>
      <c r="O487" t="s">
        <v>1575</v>
      </c>
    </row>
    <row r="488" spans="1:15" x14ac:dyDescent="0.25">
      <c r="A488" t="s">
        <v>1477</v>
      </c>
      <c r="B488" t="s">
        <v>1477</v>
      </c>
      <c r="C488" t="s">
        <v>1576</v>
      </c>
      <c r="D488" t="s">
        <v>1577</v>
      </c>
      <c r="E488" t="s">
        <v>1578</v>
      </c>
      <c r="F488" t="s">
        <v>1480</v>
      </c>
      <c r="G488" t="s">
        <v>115</v>
      </c>
      <c r="H488" t="s">
        <v>1579</v>
      </c>
      <c r="I488" t="s">
        <v>1580</v>
      </c>
      <c r="J488" t="s">
        <v>28</v>
      </c>
      <c r="K488" t="s">
        <v>1135</v>
      </c>
      <c r="L488" t="s">
        <v>30</v>
      </c>
      <c r="M488" s="2" t="s">
        <v>30</v>
      </c>
      <c r="O488" t="s">
        <v>1581</v>
      </c>
    </row>
    <row r="489" spans="1:15" x14ac:dyDescent="0.25">
      <c r="A489" t="s">
        <v>1477</v>
      </c>
      <c r="B489" t="s">
        <v>1477</v>
      </c>
      <c r="C489" t="s">
        <v>1576</v>
      </c>
      <c r="D489" t="s">
        <v>1577</v>
      </c>
      <c r="E489" t="s">
        <v>1578</v>
      </c>
      <c r="F489" t="s">
        <v>1480</v>
      </c>
      <c r="G489" t="s">
        <v>115</v>
      </c>
      <c r="H489" t="s">
        <v>1582</v>
      </c>
      <c r="I489" t="s">
        <v>1583</v>
      </c>
      <c r="J489" t="s">
        <v>28</v>
      </c>
      <c r="K489" t="s">
        <v>1135</v>
      </c>
      <c r="L489" t="s">
        <v>30</v>
      </c>
      <c r="M489" s="2" t="s">
        <v>30</v>
      </c>
      <c r="O489" t="s">
        <v>1584</v>
      </c>
    </row>
    <row r="490" spans="1:15" x14ac:dyDescent="0.25">
      <c r="A490" t="s">
        <v>1477</v>
      </c>
      <c r="B490" t="s">
        <v>1477</v>
      </c>
      <c r="C490" t="s">
        <v>1576</v>
      </c>
      <c r="D490" t="s">
        <v>1577</v>
      </c>
      <c r="E490" t="s">
        <v>1578</v>
      </c>
      <c r="F490" t="s">
        <v>1480</v>
      </c>
      <c r="G490" t="s">
        <v>115</v>
      </c>
      <c r="H490" t="s">
        <v>1585</v>
      </c>
      <c r="I490" t="s">
        <v>1586</v>
      </c>
      <c r="J490" t="s">
        <v>28</v>
      </c>
      <c r="K490" t="s">
        <v>174</v>
      </c>
      <c r="L490" t="s">
        <v>30</v>
      </c>
      <c r="M490" s="2" t="s">
        <v>30</v>
      </c>
      <c r="O490" t="s">
        <v>1587</v>
      </c>
    </row>
    <row r="491" spans="1:15" x14ac:dyDescent="0.25">
      <c r="A491" t="s">
        <v>1477</v>
      </c>
      <c r="B491" t="s">
        <v>1477</v>
      </c>
      <c r="C491" t="s">
        <v>1576</v>
      </c>
      <c r="D491" t="s">
        <v>1577</v>
      </c>
      <c r="E491" t="s">
        <v>1578</v>
      </c>
      <c r="F491" t="s">
        <v>1480</v>
      </c>
      <c r="G491" t="s">
        <v>115</v>
      </c>
      <c r="H491" t="s">
        <v>1588</v>
      </c>
      <c r="I491" t="s">
        <v>1589</v>
      </c>
      <c r="J491" t="s">
        <v>28</v>
      </c>
      <c r="K491" t="s">
        <v>1135</v>
      </c>
      <c r="L491" t="s">
        <v>30</v>
      </c>
      <c r="M491" s="2" t="s">
        <v>30</v>
      </c>
      <c r="O491" t="s">
        <v>1590</v>
      </c>
    </row>
    <row r="492" spans="1:15" x14ac:dyDescent="0.25">
      <c r="A492" t="s">
        <v>1477</v>
      </c>
      <c r="B492" t="s">
        <v>1477</v>
      </c>
      <c r="C492" t="s">
        <v>1576</v>
      </c>
      <c r="D492" t="s">
        <v>1577</v>
      </c>
      <c r="E492" t="s">
        <v>1578</v>
      </c>
      <c r="F492" t="s">
        <v>1480</v>
      </c>
      <c r="G492" t="s">
        <v>115</v>
      </c>
      <c r="H492" t="s">
        <v>1591</v>
      </c>
      <c r="I492" t="s">
        <v>1592</v>
      </c>
      <c r="J492" t="s">
        <v>28</v>
      </c>
      <c r="K492" t="s">
        <v>1484</v>
      </c>
      <c r="L492" t="s">
        <v>30</v>
      </c>
      <c r="M492" s="2" t="s">
        <v>30</v>
      </c>
    </row>
    <row r="493" spans="1:15" x14ac:dyDescent="0.25">
      <c r="A493" t="s">
        <v>1477</v>
      </c>
      <c r="B493" t="s">
        <v>1477</v>
      </c>
      <c r="C493" t="s">
        <v>1576</v>
      </c>
      <c r="D493" t="s">
        <v>1577</v>
      </c>
      <c r="E493" t="s">
        <v>1578</v>
      </c>
      <c r="F493" t="s">
        <v>1480</v>
      </c>
      <c r="G493" t="s">
        <v>115</v>
      </c>
      <c r="H493" t="s">
        <v>1593</v>
      </c>
      <c r="I493" t="s">
        <v>912</v>
      </c>
      <c r="J493" t="s">
        <v>28</v>
      </c>
      <c r="K493" t="s">
        <v>1484</v>
      </c>
      <c r="L493" t="s">
        <v>30</v>
      </c>
      <c r="M493" s="2" t="s">
        <v>30</v>
      </c>
    </row>
    <row r="494" spans="1:15" x14ac:dyDescent="0.25">
      <c r="A494" t="s">
        <v>1594</v>
      </c>
      <c r="B494" t="s">
        <v>1594</v>
      </c>
      <c r="C494" t="s">
        <v>1595</v>
      </c>
      <c r="D494" t="s">
        <v>1091</v>
      </c>
      <c r="E494" t="s">
        <v>1596</v>
      </c>
      <c r="F494" t="s">
        <v>1594</v>
      </c>
      <c r="G494" t="s">
        <v>1597</v>
      </c>
      <c r="H494" t="s">
        <v>1598</v>
      </c>
      <c r="I494" t="s">
        <v>1599</v>
      </c>
      <c r="J494" t="s">
        <v>28</v>
      </c>
      <c r="K494" t="s">
        <v>1493</v>
      </c>
      <c r="L494" t="s">
        <v>30</v>
      </c>
      <c r="M494" s="2" t="s">
        <v>30</v>
      </c>
    </row>
    <row r="495" spans="1:15" x14ac:dyDescent="0.25">
      <c r="A495" t="s">
        <v>1594</v>
      </c>
      <c r="B495" t="s">
        <v>1594</v>
      </c>
      <c r="C495" t="s">
        <v>1595</v>
      </c>
      <c r="D495" t="s">
        <v>1091</v>
      </c>
      <c r="E495" t="s">
        <v>1600</v>
      </c>
      <c r="F495" t="s">
        <v>1594</v>
      </c>
      <c r="G495" t="s">
        <v>1601</v>
      </c>
      <c r="H495" t="s">
        <v>1602</v>
      </c>
      <c r="I495" t="s">
        <v>1603</v>
      </c>
      <c r="J495" t="s">
        <v>28</v>
      </c>
      <c r="K495" t="s">
        <v>1493</v>
      </c>
      <c r="L495" t="s">
        <v>30</v>
      </c>
      <c r="M495" s="2" t="s">
        <v>30</v>
      </c>
    </row>
    <row r="496" spans="1:15" x14ac:dyDescent="0.25">
      <c r="A496" t="s">
        <v>1594</v>
      </c>
      <c r="B496" t="s">
        <v>1594</v>
      </c>
      <c r="C496" t="s">
        <v>1595</v>
      </c>
      <c r="D496" t="s">
        <v>1091</v>
      </c>
      <c r="E496" t="s">
        <v>1600</v>
      </c>
      <c r="F496" t="s">
        <v>1594</v>
      </c>
      <c r="G496" t="s">
        <v>1601</v>
      </c>
      <c r="H496" t="s">
        <v>1604</v>
      </c>
      <c r="I496" t="s">
        <v>1605</v>
      </c>
      <c r="J496" t="s">
        <v>28</v>
      </c>
      <c r="K496" t="s">
        <v>1493</v>
      </c>
      <c r="L496" t="s">
        <v>30</v>
      </c>
      <c r="M496" s="2" t="s">
        <v>30</v>
      </c>
    </row>
    <row r="497" spans="1:15" x14ac:dyDescent="0.25">
      <c r="A497" t="s">
        <v>1594</v>
      </c>
      <c r="B497" t="s">
        <v>1594</v>
      </c>
      <c r="C497" t="s">
        <v>1595</v>
      </c>
      <c r="D497" t="s">
        <v>1091</v>
      </c>
      <c r="E497" t="s">
        <v>1600</v>
      </c>
      <c r="F497" t="s">
        <v>1594</v>
      </c>
      <c r="G497" t="s">
        <v>1601</v>
      </c>
      <c r="H497" t="s">
        <v>1606</v>
      </c>
      <c r="I497" t="s">
        <v>1607</v>
      </c>
      <c r="J497" t="s">
        <v>28</v>
      </c>
      <c r="K497" t="s">
        <v>1493</v>
      </c>
      <c r="L497" t="s">
        <v>30</v>
      </c>
      <c r="M497" s="2" t="s">
        <v>30</v>
      </c>
    </row>
    <row r="498" spans="1:15" x14ac:dyDescent="0.25">
      <c r="A498" t="s">
        <v>1594</v>
      </c>
      <c r="B498" t="s">
        <v>1594</v>
      </c>
      <c r="C498" t="s">
        <v>1608</v>
      </c>
      <c r="D498" t="s">
        <v>1091</v>
      </c>
      <c r="E498" t="s">
        <v>1609</v>
      </c>
      <c r="F498" t="s">
        <v>1610</v>
      </c>
      <c r="G498" t="s">
        <v>1597</v>
      </c>
      <c r="H498" t="s">
        <v>1611</v>
      </c>
      <c r="I498" t="s">
        <v>1612</v>
      </c>
      <c r="J498" t="s">
        <v>28</v>
      </c>
      <c r="K498" t="s">
        <v>1493</v>
      </c>
      <c r="L498" t="s">
        <v>30</v>
      </c>
      <c r="M498" s="2" t="s">
        <v>30</v>
      </c>
    </row>
    <row r="499" spans="1:15" x14ac:dyDescent="0.25">
      <c r="A499" t="s">
        <v>1594</v>
      </c>
      <c r="B499" t="s">
        <v>1594</v>
      </c>
      <c r="C499" t="s">
        <v>1608</v>
      </c>
      <c r="D499" t="s">
        <v>1091</v>
      </c>
      <c r="E499" t="s">
        <v>1613</v>
      </c>
      <c r="F499" t="s">
        <v>1610</v>
      </c>
      <c r="G499" t="s">
        <v>1597</v>
      </c>
      <c r="H499" t="s">
        <v>1614</v>
      </c>
      <c r="I499" t="s">
        <v>1615</v>
      </c>
      <c r="J499" t="s">
        <v>28</v>
      </c>
      <c r="K499" t="s">
        <v>1493</v>
      </c>
      <c r="L499" t="s">
        <v>52</v>
      </c>
      <c r="M499" s="3" t="s">
        <v>52</v>
      </c>
      <c r="O499" t="s">
        <v>1616</v>
      </c>
    </row>
    <row r="500" spans="1:15" x14ac:dyDescent="0.25">
      <c r="A500" t="s">
        <v>1594</v>
      </c>
      <c r="B500" t="s">
        <v>1594</v>
      </c>
      <c r="C500" t="s">
        <v>1617</v>
      </c>
      <c r="D500" t="s">
        <v>707</v>
      </c>
      <c r="E500" t="s">
        <v>1618</v>
      </c>
      <c r="F500" t="s">
        <v>1619</v>
      </c>
      <c r="G500" t="s">
        <v>115</v>
      </c>
      <c r="H500" t="s">
        <v>1620</v>
      </c>
      <c r="I500" t="s">
        <v>1621</v>
      </c>
      <c r="J500" t="s">
        <v>28</v>
      </c>
      <c r="K500" t="s">
        <v>1622</v>
      </c>
      <c r="L500" t="s">
        <v>52</v>
      </c>
      <c r="M500" s="3" t="s">
        <v>52</v>
      </c>
      <c r="O500" t="s">
        <v>1623</v>
      </c>
    </row>
    <row r="501" spans="1:15" x14ac:dyDescent="0.25">
      <c r="A501" t="s">
        <v>1594</v>
      </c>
      <c r="B501" t="s">
        <v>1594</v>
      </c>
      <c r="C501" t="s">
        <v>1617</v>
      </c>
      <c r="D501" t="s">
        <v>707</v>
      </c>
      <c r="E501" t="s">
        <v>1624</v>
      </c>
      <c r="F501" t="s">
        <v>1619</v>
      </c>
      <c r="G501" t="s">
        <v>115</v>
      </c>
      <c r="H501" t="s">
        <v>1625</v>
      </c>
      <c r="I501" t="s">
        <v>1626</v>
      </c>
      <c r="J501" t="s">
        <v>28</v>
      </c>
      <c r="K501" t="s">
        <v>1622</v>
      </c>
      <c r="L501" t="s">
        <v>52</v>
      </c>
      <c r="M501" s="3" t="s">
        <v>52</v>
      </c>
      <c r="O501" t="s">
        <v>1623</v>
      </c>
    </row>
    <row r="502" spans="1:15" x14ac:dyDescent="0.25">
      <c r="A502" t="s">
        <v>1594</v>
      </c>
      <c r="B502" t="s">
        <v>1594</v>
      </c>
      <c r="C502" t="s">
        <v>1617</v>
      </c>
      <c r="D502" t="s">
        <v>707</v>
      </c>
      <c r="E502" t="s">
        <v>1624</v>
      </c>
      <c r="F502" t="s">
        <v>1619</v>
      </c>
      <c r="G502" t="s">
        <v>115</v>
      </c>
      <c r="H502" t="s">
        <v>1627</v>
      </c>
      <c r="I502" t="s">
        <v>1628</v>
      </c>
      <c r="J502" t="s">
        <v>28</v>
      </c>
      <c r="K502" t="s">
        <v>1622</v>
      </c>
      <c r="L502" t="s">
        <v>52</v>
      </c>
      <c r="M502" s="3" t="s">
        <v>52</v>
      </c>
      <c r="O502" t="s">
        <v>1623</v>
      </c>
    </row>
    <row r="503" spans="1:15" x14ac:dyDescent="0.25">
      <c r="A503" t="s">
        <v>1594</v>
      </c>
      <c r="B503" t="s">
        <v>1594</v>
      </c>
      <c r="C503" t="s">
        <v>1617</v>
      </c>
      <c r="D503" t="s">
        <v>707</v>
      </c>
      <c r="E503" t="s">
        <v>1624</v>
      </c>
      <c r="F503" t="s">
        <v>1619</v>
      </c>
      <c r="G503" t="s">
        <v>115</v>
      </c>
      <c r="H503" t="s">
        <v>1629</v>
      </c>
      <c r="I503" t="s">
        <v>1630</v>
      </c>
      <c r="J503" t="s">
        <v>28</v>
      </c>
      <c r="K503" t="s">
        <v>1622</v>
      </c>
      <c r="L503" t="s">
        <v>52</v>
      </c>
      <c r="M503" s="3" t="s">
        <v>52</v>
      </c>
      <c r="O503" t="s">
        <v>1623</v>
      </c>
    </row>
    <row r="504" spans="1:15" x14ac:dyDescent="0.25">
      <c r="A504" t="s">
        <v>1594</v>
      </c>
      <c r="B504" t="s">
        <v>1594</v>
      </c>
      <c r="C504" t="s">
        <v>1631</v>
      </c>
      <c r="D504" t="s">
        <v>1091</v>
      </c>
      <c r="E504" t="s">
        <v>1632</v>
      </c>
      <c r="F504" t="s">
        <v>1619</v>
      </c>
      <c r="G504" t="s">
        <v>1633</v>
      </c>
      <c r="H504" t="s">
        <v>1634</v>
      </c>
      <c r="I504" t="s">
        <v>1635</v>
      </c>
      <c r="J504" t="s">
        <v>28</v>
      </c>
      <c r="K504" t="s">
        <v>1636</v>
      </c>
      <c r="L504" t="s">
        <v>30</v>
      </c>
      <c r="M504" s="2" t="s">
        <v>30</v>
      </c>
      <c r="O504" t="s">
        <v>1637</v>
      </c>
    </row>
    <row r="505" spans="1:15" x14ac:dyDescent="0.25">
      <c r="A505" t="s">
        <v>1594</v>
      </c>
      <c r="B505" t="s">
        <v>1594</v>
      </c>
      <c r="C505" t="s">
        <v>1631</v>
      </c>
      <c r="D505" t="s">
        <v>1091</v>
      </c>
      <c r="E505" t="s">
        <v>1638</v>
      </c>
      <c r="F505" t="s">
        <v>1619</v>
      </c>
      <c r="G505" t="s">
        <v>1633</v>
      </c>
      <c r="H505" t="s">
        <v>1639</v>
      </c>
      <c r="I505" t="s">
        <v>1640</v>
      </c>
      <c r="J505" t="s">
        <v>28</v>
      </c>
      <c r="K505" t="s">
        <v>1622</v>
      </c>
      <c r="L505" t="s">
        <v>52</v>
      </c>
      <c r="M505" s="3" t="s">
        <v>52</v>
      </c>
      <c r="O505" t="s">
        <v>1641</v>
      </c>
    </row>
    <row r="506" spans="1:15" x14ac:dyDescent="0.25">
      <c r="A506" t="s">
        <v>1594</v>
      </c>
      <c r="B506" t="s">
        <v>1594</v>
      </c>
      <c r="C506" t="s">
        <v>1631</v>
      </c>
      <c r="D506" t="s">
        <v>1091</v>
      </c>
      <c r="E506" t="s">
        <v>1638</v>
      </c>
      <c r="F506" t="s">
        <v>1619</v>
      </c>
      <c r="G506" t="s">
        <v>1633</v>
      </c>
      <c r="H506" t="s">
        <v>1642</v>
      </c>
      <c r="I506" t="s">
        <v>1643</v>
      </c>
      <c r="J506" t="s">
        <v>28</v>
      </c>
      <c r="K506" t="s">
        <v>1622</v>
      </c>
      <c r="L506" t="s">
        <v>30</v>
      </c>
      <c r="M506" s="2" t="s">
        <v>30</v>
      </c>
    </row>
    <row r="507" spans="1:15" x14ac:dyDescent="0.25">
      <c r="A507" t="s">
        <v>1594</v>
      </c>
      <c r="B507" t="s">
        <v>1594</v>
      </c>
      <c r="C507" t="s">
        <v>1631</v>
      </c>
      <c r="D507" t="s">
        <v>1091</v>
      </c>
      <c r="E507" t="s">
        <v>1638</v>
      </c>
      <c r="F507" t="s">
        <v>1619</v>
      </c>
      <c r="G507" t="s">
        <v>1633</v>
      </c>
      <c r="H507" t="s">
        <v>1644</v>
      </c>
      <c r="I507" t="s">
        <v>1645</v>
      </c>
      <c r="J507" t="s">
        <v>28</v>
      </c>
      <c r="K507" t="s">
        <v>1622</v>
      </c>
      <c r="L507" t="s">
        <v>30</v>
      </c>
      <c r="M507" s="2" t="s">
        <v>30</v>
      </c>
    </row>
    <row r="508" spans="1:15" x14ac:dyDescent="0.25">
      <c r="A508" t="s">
        <v>1594</v>
      </c>
      <c r="B508" t="s">
        <v>1594</v>
      </c>
      <c r="C508" t="s">
        <v>1631</v>
      </c>
      <c r="D508" t="s">
        <v>1091</v>
      </c>
      <c r="E508" t="s">
        <v>1638</v>
      </c>
      <c r="F508" t="s">
        <v>1619</v>
      </c>
      <c r="G508" t="s">
        <v>1633</v>
      </c>
      <c r="H508" t="s">
        <v>1646</v>
      </c>
      <c r="I508" t="s">
        <v>1647</v>
      </c>
      <c r="J508" t="s">
        <v>28</v>
      </c>
      <c r="K508" t="s">
        <v>1622</v>
      </c>
      <c r="L508" t="s">
        <v>52</v>
      </c>
      <c r="M508" s="3" t="s">
        <v>52</v>
      </c>
      <c r="O508" t="s">
        <v>1641</v>
      </c>
    </row>
    <row r="509" spans="1:15" x14ac:dyDescent="0.25">
      <c r="A509" t="s">
        <v>1594</v>
      </c>
      <c r="B509" t="s">
        <v>1594</v>
      </c>
      <c r="C509" t="s">
        <v>1648</v>
      </c>
      <c r="D509" t="s">
        <v>830</v>
      </c>
      <c r="E509" t="s">
        <v>1649</v>
      </c>
      <c r="F509" t="s">
        <v>1619</v>
      </c>
      <c r="G509" t="s">
        <v>1132</v>
      </c>
      <c r="H509" t="s">
        <v>1650</v>
      </c>
      <c r="I509" t="s">
        <v>1651</v>
      </c>
      <c r="J509" t="s">
        <v>28</v>
      </c>
      <c r="K509" t="s">
        <v>1622</v>
      </c>
      <c r="L509" t="s">
        <v>30</v>
      </c>
      <c r="M509" s="2" t="s">
        <v>30</v>
      </c>
    </row>
    <row r="510" spans="1:15" x14ac:dyDescent="0.25">
      <c r="A510" t="s">
        <v>1594</v>
      </c>
      <c r="B510" t="s">
        <v>1594</v>
      </c>
      <c r="C510" t="s">
        <v>1648</v>
      </c>
      <c r="D510" t="s">
        <v>830</v>
      </c>
      <c r="E510" t="s">
        <v>1652</v>
      </c>
      <c r="F510" t="s">
        <v>1619</v>
      </c>
      <c r="G510" t="s">
        <v>1132</v>
      </c>
      <c r="H510" t="s">
        <v>1653</v>
      </c>
      <c r="I510" t="s">
        <v>1654</v>
      </c>
      <c r="J510" t="s">
        <v>28</v>
      </c>
      <c r="K510" t="s">
        <v>1622</v>
      </c>
      <c r="L510" t="s">
        <v>30</v>
      </c>
      <c r="M510" s="2" t="s">
        <v>30</v>
      </c>
    </row>
    <row r="511" spans="1:15" x14ac:dyDescent="0.25">
      <c r="A511" t="s">
        <v>1594</v>
      </c>
      <c r="B511" t="s">
        <v>1594</v>
      </c>
      <c r="C511" t="s">
        <v>1655</v>
      </c>
      <c r="D511" t="s">
        <v>1091</v>
      </c>
      <c r="E511" t="s">
        <v>1656</v>
      </c>
      <c r="F511" t="s">
        <v>1619</v>
      </c>
      <c r="G511" t="s">
        <v>1132</v>
      </c>
      <c r="H511" t="s">
        <v>1657</v>
      </c>
      <c r="I511" t="s">
        <v>1259</v>
      </c>
      <c r="J511" t="s">
        <v>28</v>
      </c>
      <c r="L511" t="s">
        <v>52</v>
      </c>
      <c r="M511" s="3" t="s">
        <v>52</v>
      </c>
    </row>
    <row r="512" spans="1:15" x14ac:dyDescent="0.25">
      <c r="A512" t="s">
        <v>1594</v>
      </c>
      <c r="B512" t="s">
        <v>1594</v>
      </c>
      <c r="C512" t="s">
        <v>1658</v>
      </c>
      <c r="D512" t="s">
        <v>707</v>
      </c>
      <c r="E512" t="s">
        <v>1659</v>
      </c>
      <c r="F512" t="s">
        <v>1619</v>
      </c>
      <c r="G512" t="s">
        <v>115</v>
      </c>
      <c r="H512" t="s">
        <v>1660</v>
      </c>
      <c r="I512" t="s">
        <v>1661</v>
      </c>
      <c r="J512" t="s">
        <v>28</v>
      </c>
      <c r="K512" t="s">
        <v>1622</v>
      </c>
      <c r="L512" t="s">
        <v>30</v>
      </c>
      <c r="M512" s="2" t="s">
        <v>30</v>
      </c>
    </row>
    <row r="513" spans="1:18" x14ac:dyDescent="0.25">
      <c r="A513" t="s">
        <v>1594</v>
      </c>
      <c r="B513" t="s">
        <v>1594</v>
      </c>
      <c r="C513" t="s">
        <v>1658</v>
      </c>
      <c r="D513" t="s">
        <v>707</v>
      </c>
      <c r="E513" t="s">
        <v>1662</v>
      </c>
      <c r="F513" t="s">
        <v>1619</v>
      </c>
      <c r="G513" t="s">
        <v>115</v>
      </c>
      <c r="H513" t="s">
        <v>1663</v>
      </c>
      <c r="I513" t="s">
        <v>1664</v>
      </c>
      <c r="J513" t="s">
        <v>28</v>
      </c>
      <c r="K513" t="s">
        <v>1372</v>
      </c>
      <c r="L513" t="s">
        <v>30</v>
      </c>
      <c r="M513" s="2" t="s">
        <v>30</v>
      </c>
      <c r="O513" t="s">
        <v>1665</v>
      </c>
      <c r="R513" t="s">
        <v>1193</v>
      </c>
    </row>
    <row r="514" spans="1:18" x14ac:dyDescent="0.25">
      <c r="A514" t="s">
        <v>1594</v>
      </c>
      <c r="B514" t="s">
        <v>1594</v>
      </c>
      <c r="C514" t="s">
        <v>1658</v>
      </c>
      <c r="D514" t="s">
        <v>707</v>
      </c>
      <c r="E514" t="s">
        <v>1662</v>
      </c>
      <c r="F514" t="s">
        <v>1619</v>
      </c>
      <c r="G514" t="s">
        <v>115</v>
      </c>
      <c r="H514" t="s">
        <v>1666</v>
      </c>
      <c r="I514" t="s">
        <v>1667</v>
      </c>
      <c r="J514" t="s">
        <v>28</v>
      </c>
      <c r="K514" t="s">
        <v>494</v>
      </c>
      <c r="L514" t="s">
        <v>30</v>
      </c>
      <c r="M514" s="2" t="s">
        <v>30</v>
      </c>
      <c r="O514" t="s">
        <v>1668</v>
      </c>
      <c r="P514" t="s">
        <v>126</v>
      </c>
      <c r="Q514" t="s">
        <v>1669</v>
      </c>
    </row>
    <row r="515" spans="1:18" x14ac:dyDescent="0.25">
      <c r="A515" t="s">
        <v>1594</v>
      </c>
      <c r="B515" t="s">
        <v>1594</v>
      </c>
      <c r="C515" t="s">
        <v>1658</v>
      </c>
      <c r="D515" t="s">
        <v>707</v>
      </c>
      <c r="E515" t="s">
        <v>1662</v>
      </c>
      <c r="F515" t="s">
        <v>1619</v>
      </c>
      <c r="G515" t="s">
        <v>115</v>
      </c>
      <c r="H515" t="s">
        <v>1670</v>
      </c>
      <c r="I515" t="s">
        <v>1671</v>
      </c>
      <c r="J515" t="s">
        <v>28</v>
      </c>
      <c r="K515" t="s">
        <v>494</v>
      </c>
      <c r="L515" t="s">
        <v>30</v>
      </c>
      <c r="M515" s="2" t="s">
        <v>30</v>
      </c>
      <c r="O515" t="s">
        <v>1672</v>
      </c>
      <c r="P515" t="s">
        <v>126</v>
      </c>
      <c r="Q515" t="s">
        <v>1669</v>
      </c>
    </row>
    <row r="516" spans="1:18" x14ac:dyDescent="0.25">
      <c r="A516" t="s">
        <v>1594</v>
      </c>
      <c r="B516" t="s">
        <v>1594</v>
      </c>
      <c r="C516" t="s">
        <v>1658</v>
      </c>
      <c r="D516" t="s">
        <v>707</v>
      </c>
      <c r="E516" t="s">
        <v>1662</v>
      </c>
      <c r="F516" t="s">
        <v>1619</v>
      </c>
      <c r="G516" t="s">
        <v>115</v>
      </c>
      <c r="H516" t="s">
        <v>1673</v>
      </c>
      <c r="I516" t="s">
        <v>1674</v>
      </c>
      <c r="J516" t="s">
        <v>28</v>
      </c>
      <c r="K516" t="s">
        <v>1622</v>
      </c>
      <c r="L516" t="s">
        <v>52</v>
      </c>
      <c r="M516" s="3" t="s">
        <v>52</v>
      </c>
      <c r="O516" t="s">
        <v>1675</v>
      </c>
    </row>
    <row r="517" spans="1:18" x14ac:dyDescent="0.25">
      <c r="A517" t="s">
        <v>1594</v>
      </c>
      <c r="B517" t="s">
        <v>1594</v>
      </c>
      <c r="C517" t="s">
        <v>1658</v>
      </c>
      <c r="D517" t="s">
        <v>707</v>
      </c>
      <c r="E517" t="s">
        <v>1662</v>
      </c>
      <c r="F517" t="s">
        <v>1619</v>
      </c>
      <c r="G517" t="s">
        <v>115</v>
      </c>
      <c r="H517" t="s">
        <v>1676</v>
      </c>
      <c r="I517" t="s">
        <v>1677</v>
      </c>
      <c r="J517" t="s">
        <v>28</v>
      </c>
      <c r="K517" t="s">
        <v>1622</v>
      </c>
      <c r="L517" t="s">
        <v>30</v>
      </c>
      <c r="M517" s="2" t="s">
        <v>30</v>
      </c>
    </row>
    <row r="518" spans="1:18" x14ac:dyDescent="0.25">
      <c r="A518" t="s">
        <v>1594</v>
      </c>
      <c r="B518" t="s">
        <v>1594</v>
      </c>
      <c r="C518" t="s">
        <v>1678</v>
      </c>
      <c r="D518" t="s">
        <v>707</v>
      </c>
      <c r="E518" t="s">
        <v>1679</v>
      </c>
      <c r="F518" t="s">
        <v>1619</v>
      </c>
      <c r="G518" t="s">
        <v>932</v>
      </c>
      <c r="H518" t="s">
        <v>1680</v>
      </c>
      <c r="I518" t="s">
        <v>1681</v>
      </c>
      <c r="J518" t="s">
        <v>28</v>
      </c>
      <c r="K518" t="s">
        <v>124</v>
      </c>
      <c r="L518" t="s">
        <v>30</v>
      </c>
      <c r="M518" s="2" t="s">
        <v>30</v>
      </c>
      <c r="O518" t="s">
        <v>1682</v>
      </c>
      <c r="R518" t="s">
        <v>515</v>
      </c>
    </row>
    <row r="519" spans="1:18" x14ac:dyDescent="0.25">
      <c r="A519" t="s">
        <v>1594</v>
      </c>
      <c r="B519" t="s">
        <v>1594</v>
      </c>
      <c r="C519" t="s">
        <v>1678</v>
      </c>
      <c r="D519" t="s">
        <v>707</v>
      </c>
      <c r="E519" t="s">
        <v>1679</v>
      </c>
      <c r="F519" t="s">
        <v>1619</v>
      </c>
      <c r="G519" t="s">
        <v>932</v>
      </c>
      <c r="H519" t="s">
        <v>1683</v>
      </c>
      <c r="I519" t="s">
        <v>1684</v>
      </c>
      <c r="J519" t="s">
        <v>28</v>
      </c>
      <c r="K519" t="s">
        <v>1622</v>
      </c>
      <c r="L519" t="s">
        <v>30</v>
      </c>
      <c r="M519" s="2" t="s">
        <v>30</v>
      </c>
    </row>
    <row r="520" spans="1:18" x14ac:dyDescent="0.25">
      <c r="A520" t="s">
        <v>1594</v>
      </c>
      <c r="B520" t="s">
        <v>1594</v>
      </c>
      <c r="C520" t="s">
        <v>1678</v>
      </c>
      <c r="D520" t="s">
        <v>707</v>
      </c>
      <c r="E520" t="s">
        <v>1679</v>
      </c>
      <c r="F520" t="s">
        <v>1619</v>
      </c>
      <c r="G520" t="s">
        <v>932</v>
      </c>
      <c r="H520" t="s">
        <v>1685</v>
      </c>
      <c r="I520" t="s">
        <v>1686</v>
      </c>
      <c r="J520" t="s">
        <v>28</v>
      </c>
      <c r="K520" t="s">
        <v>1622</v>
      </c>
      <c r="L520" t="s">
        <v>30</v>
      </c>
      <c r="M520" s="4" t="s">
        <v>30</v>
      </c>
      <c r="N520" t="s">
        <v>1685</v>
      </c>
      <c r="O520" t="s">
        <v>183</v>
      </c>
    </row>
    <row r="521" spans="1:18" x14ac:dyDescent="0.25">
      <c r="A521" t="s">
        <v>1594</v>
      </c>
      <c r="B521" t="s">
        <v>1594</v>
      </c>
      <c r="C521" t="s">
        <v>1678</v>
      </c>
      <c r="D521" t="s">
        <v>707</v>
      </c>
      <c r="E521" t="s">
        <v>1679</v>
      </c>
      <c r="F521" t="s">
        <v>1619</v>
      </c>
      <c r="G521" t="s">
        <v>932</v>
      </c>
      <c r="H521" t="s">
        <v>1687</v>
      </c>
      <c r="I521" t="s">
        <v>1688</v>
      </c>
      <c r="J521" t="s">
        <v>28</v>
      </c>
      <c r="K521" t="s">
        <v>1622</v>
      </c>
      <c r="L521" t="s">
        <v>30</v>
      </c>
      <c r="M521" s="2" t="s">
        <v>30</v>
      </c>
    </row>
    <row r="522" spans="1:18" x14ac:dyDescent="0.25">
      <c r="A522" t="s">
        <v>1594</v>
      </c>
      <c r="B522" t="s">
        <v>1594</v>
      </c>
      <c r="C522" t="s">
        <v>1678</v>
      </c>
      <c r="D522" t="s">
        <v>707</v>
      </c>
      <c r="E522" t="s">
        <v>1679</v>
      </c>
      <c r="F522" t="s">
        <v>1619</v>
      </c>
      <c r="G522" t="s">
        <v>932</v>
      </c>
      <c r="H522" t="s">
        <v>1689</v>
      </c>
      <c r="I522" t="s">
        <v>1690</v>
      </c>
      <c r="J522" t="s">
        <v>28</v>
      </c>
      <c r="K522" t="s">
        <v>1622</v>
      </c>
      <c r="L522" t="s">
        <v>30</v>
      </c>
      <c r="M522" s="2" t="s">
        <v>30</v>
      </c>
    </row>
    <row r="523" spans="1:18" x14ac:dyDescent="0.25">
      <c r="A523" t="s">
        <v>1594</v>
      </c>
      <c r="B523" t="s">
        <v>1594</v>
      </c>
      <c r="C523" t="s">
        <v>1691</v>
      </c>
      <c r="D523" t="s">
        <v>603</v>
      </c>
      <c r="E523" t="s">
        <v>1692</v>
      </c>
      <c r="F523" t="s">
        <v>1619</v>
      </c>
      <c r="G523" t="s">
        <v>932</v>
      </c>
      <c r="H523" t="s">
        <v>1693</v>
      </c>
      <c r="I523" t="s">
        <v>1694</v>
      </c>
      <c r="J523" t="s">
        <v>28</v>
      </c>
      <c r="K523" t="s">
        <v>1622</v>
      </c>
      <c r="L523" t="s">
        <v>30</v>
      </c>
      <c r="M523" s="2" t="s">
        <v>30</v>
      </c>
    </row>
    <row r="524" spans="1:18" x14ac:dyDescent="0.25">
      <c r="A524" t="s">
        <v>1594</v>
      </c>
      <c r="B524" t="s">
        <v>1594</v>
      </c>
      <c r="C524" t="s">
        <v>1691</v>
      </c>
      <c r="D524" t="s">
        <v>603</v>
      </c>
      <c r="E524" t="s">
        <v>1692</v>
      </c>
      <c r="F524" t="s">
        <v>1619</v>
      </c>
      <c r="G524" t="s">
        <v>932</v>
      </c>
      <c r="H524" t="s">
        <v>1695</v>
      </c>
      <c r="I524" t="s">
        <v>1696</v>
      </c>
      <c r="J524" t="s">
        <v>28</v>
      </c>
      <c r="K524" t="s">
        <v>1622</v>
      </c>
      <c r="L524" t="s">
        <v>30</v>
      </c>
      <c r="M524" s="2" t="s">
        <v>30</v>
      </c>
    </row>
    <row r="525" spans="1:18" x14ac:dyDescent="0.25">
      <c r="A525" t="s">
        <v>1594</v>
      </c>
      <c r="B525" t="s">
        <v>1594</v>
      </c>
      <c r="C525" t="s">
        <v>1697</v>
      </c>
      <c r="D525" t="s">
        <v>707</v>
      </c>
      <c r="E525" t="s">
        <v>1698</v>
      </c>
      <c r="F525" t="s">
        <v>1610</v>
      </c>
      <c r="G525" t="s">
        <v>1699</v>
      </c>
      <c r="H525" t="s">
        <v>1700</v>
      </c>
      <c r="I525" t="s">
        <v>1701</v>
      </c>
      <c r="J525" t="s">
        <v>28</v>
      </c>
      <c r="K525" t="s">
        <v>1125</v>
      </c>
      <c r="L525" t="s">
        <v>30</v>
      </c>
      <c r="M525" s="2" t="s">
        <v>30</v>
      </c>
      <c r="O525" t="s">
        <v>1702</v>
      </c>
      <c r="R525" t="s">
        <v>1125</v>
      </c>
    </row>
    <row r="526" spans="1:18" x14ac:dyDescent="0.25">
      <c r="A526" t="s">
        <v>1594</v>
      </c>
      <c r="B526" t="s">
        <v>1594</v>
      </c>
      <c r="C526" t="s">
        <v>1697</v>
      </c>
      <c r="D526" t="s">
        <v>707</v>
      </c>
      <c r="E526" t="s">
        <v>1698</v>
      </c>
      <c r="F526" t="s">
        <v>1610</v>
      </c>
      <c r="G526" t="s">
        <v>1699</v>
      </c>
      <c r="H526" t="s">
        <v>1703</v>
      </c>
      <c r="I526" t="s">
        <v>1704</v>
      </c>
      <c r="J526" t="s">
        <v>28</v>
      </c>
      <c r="K526" t="s">
        <v>177</v>
      </c>
      <c r="L526" t="s">
        <v>181</v>
      </c>
      <c r="M526" s="4" t="s">
        <v>182</v>
      </c>
      <c r="N526" t="s">
        <v>3513</v>
      </c>
      <c r="O526" t="s">
        <v>1705</v>
      </c>
      <c r="R526" t="s">
        <v>118</v>
      </c>
    </row>
    <row r="527" spans="1:18" x14ac:dyDescent="0.25">
      <c r="A527" t="s">
        <v>1594</v>
      </c>
      <c r="B527" t="s">
        <v>1594</v>
      </c>
      <c r="C527" t="s">
        <v>1697</v>
      </c>
      <c r="D527" t="s">
        <v>707</v>
      </c>
      <c r="E527" t="s">
        <v>1698</v>
      </c>
      <c r="F527" t="s">
        <v>1610</v>
      </c>
      <c r="G527" t="s">
        <v>1699</v>
      </c>
      <c r="H527" t="s">
        <v>1706</v>
      </c>
      <c r="I527" t="s">
        <v>1707</v>
      </c>
      <c r="J527" t="s">
        <v>28</v>
      </c>
      <c r="K527" t="s">
        <v>177</v>
      </c>
      <c r="L527" t="s">
        <v>30</v>
      </c>
      <c r="M527" s="2" t="s">
        <v>30</v>
      </c>
      <c r="O527" t="s">
        <v>1708</v>
      </c>
      <c r="R527" t="s">
        <v>118</v>
      </c>
    </row>
    <row r="528" spans="1:18" x14ac:dyDescent="0.25">
      <c r="A528" t="s">
        <v>1594</v>
      </c>
      <c r="B528" t="s">
        <v>1594</v>
      </c>
      <c r="C528" t="s">
        <v>1697</v>
      </c>
      <c r="D528" t="s">
        <v>707</v>
      </c>
      <c r="E528" t="s">
        <v>1698</v>
      </c>
      <c r="F528" t="s">
        <v>1610</v>
      </c>
      <c r="G528" t="s">
        <v>1699</v>
      </c>
      <c r="H528" t="s">
        <v>1709</v>
      </c>
      <c r="I528" t="s">
        <v>1710</v>
      </c>
      <c r="J528" t="s">
        <v>28</v>
      </c>
      <c r="K528" t="s">
        <v>1193</v>
      </c>
      <c r="L528" t="s">
        <v>30</v>
      </c>
      <c r="M528" s="2" t="s">
        <v>30</v>
      </c>
      <c r="O528" t="s">
        <v>1702</v>
      </c>
      <c r="R528" t="s">
        <v>118</v>
      </c>
    </row>
    <row r="529" spans="1:18" x14ac:dyDescent="0.25">
      <c r="A529" t="s">
        <v>1594</v>
      </c>
      <c r="B529" t="s">
        <v>1594</v>
      </c>
      <c r="C529" t="s">
        <v>1711</v>
      </c>
      <c r="D529" t="s">
        <v>830</v>
      </c>
      <c r="E529" t="s">
        <v>1712</v>
      </c>
      <c r="F529" t="s">
        <v>1610</v>
      </c>
      <c r="G529" t="s">
        <v>932</v>
      </c>
      <c r="H529" t="s">
        <v>1713</v>
      </c>
      <c r="I529" t="s">
        <v>1714</v>
      </c>
      <c r="J529" t="s">
        <v>28</v>
      </c>
      <c r="K529" t="s">
        <v>1715</v>
      </c>
      <c r="L529" s="85" t="s">
        <v>30</v>
      </c>
      <c r="M529" s="106" t="s">
        <v>30</v>
      </c>
      <c r="N529" t="s">
        <v>1713</v>
      </c>
      <c r="O529" t="s">
        <v>1716</v>
      </c>
    </row>
    <row r="530" spans="1:18" x14ac:dyDescent="0.25">
      <c r="A530" t="s">
        <v>1594</v>
      </c>
      <c r="B530" t="s">
        <v>1594</v>
      </c>
      <c r="C530" t="s">
        <v>1717</v>
      </c>
      <c r="D530" t="s">
        <v>830</v>
      </c>
      <c r="E530" t="s">
        <v>1718</v>
      </c>
      <c r="F530" t="s">
        <v>1610</v>
      </c>
      <c r="G530" t="s">
        <v>1699</v>
      </c>
      <c r="H530" t="s">
        <v>1719</v>
      </c>
      <c r="I530" t="s">
        <v>1720</v>
      </c>
      <c r="J530" t="s">
        <v>28</v>
      </c>
      <c r="K530" t="s">
        <v>1193</v>
      </c>
      <c r="L530" t="s">
        <v>30</v>
      </c>
      <c r="M530" s="2" t="s">
        <v>30</v>
      </c>
      <c r="O530" t="s">
        <v>1721</v>
      </c>
      <c r="P530" t="s">
        <v>126</v>
      </c>
      <c r="R530" t="s">
        <v>1193</v>
      </c>
    </row>
    <row r="531" spans="1:18" x14ac:dyDescent="0.25">
      <c r="A531" t="s">
        <v>1594</v>
      </c>
      <c r="B531" t="s">
        <v>1594</v>
      </c>
      <c r="C531" t="s">
        <v>1717</v>
      </c>
      <c r="D531" t="s">
        <v>830</v>
      </c>
      <c r="E531" t="s">
        <v>1718</v>
      </c>
      <c r="F531" t="s">
        <v>1610</v>
      </c>
      <c r="G531" t="s">
        <v>1699</v>
      </c>
      <c r="H531" t="s">
        <v>1722</v>
      </c>
      <c r="I531" t="s">
        <v>1723</v>
      </c>
      <c r="J531" t="s">
        <v>28</v>
      </c>
      <c r="K531" t="s">
        <v>1715</v>
      </c>
      <c r="L531" t="s">
        <v>30</v>
      </c>
      <c r="M531" s="2" t="s">
        <v>30</v>
      </c>
    </row>
    <row r="532" spans="1:18" x14ac:dyDescent="0.25">
      <c r="A532" t="s">
        <v>1594</v>
      </c>
      <c r="B532" t="s">
        <v>1594</v>
      </c>
      <c r="C532" t="s">
        <v>1717</v>
      </c>
      <c r="D532" t="s">
        <v>830</v>
      </c>
      <c r="E532" t="s">
        <v>1718</v>
      </c>
      <c r="F532" t="s">
        <v>1610</v>
      </c>
      <c r="G532" t="s">
        <v>1699</v>
      </c>
      <c r="H532" t="s">
        <v>1724</v>
      </c>
      <c r="I532" t="s">
        <v>1725</v>
      </c>
      <c r="J532" t="s">
        <v>28</v>
      </c>
      <c r="K532" t="s">
        <v>124</v>
      </c>
      <c r="L532" t="s">
        <v>30</v>
      </c>
      <c r="M532" s="2" t="s">
        <v>30</v>
      </c>
      <c r="O532" t="s">
        <v>1726</v>
      </c>
    </row>
    <row r="533" spans="1:18" x14ac:dyDescent="0.25">
      <c r="A533" t="s">
        <v>1594</v>
      </c>
      <c r="B533" t="s">
        <v>1594</v>
      </c>
      <c r="C533" t="s">
        <v>1727</v>
      </c>
      <c r="D533" t="s">
        <v>707</v>
      </c>
      <c r="E533" t="s">
        <v>1728</v>
      </c>
      <c r="F533" t="s">
        <v>1610</v>
      </c>
      <c r="G533" t="s">
        <v>1699</v>
      </c>
      <c r="H533" t="s">
        <v>1729</v>
      </c>
      <c r="I533" t="s">
        <v>1730</v>
      </c>
      <c r="J533" t="s">
        <v>28</v>
      </c>
      <c r="K533" t="s">
        <v>1731</v>
      </c>
      <c r="L533" t="s">
        <v>30</v>
      </c>
      <c r="M533" s="2" t="s">
        <v>30</v>
      </c>
    </row>
    <row r="534" spans="1:18" x14ac:dyDescent="0.25">
      <c r="A534" t="s">
        <v>1594</v>
      </c>
      <c r="B534" t="s">
        <v>1594</v>
      </c>
      <c r="C534" t="s">
        <v>1727</v>
      </c>
      <c r="D534" t="s">
        <v>707</v>
      </c>
      <c r="E534" t="s">
        <v>1732</v>
      </c>
      <c r="F534" t="s">
        <v>1610</v>
      </c>
      <c r="G534" t="s">
        <v>1699</v>
      </c>
      <c r="H534" t="s">
        <v>1733</v>
      </c>
      <c r="I534" t="s">
        <v>1734</v>
      </c>
      <c r="J534" t="s">
        <v>28</v>
      </c>
      <c r="K534" t="s">
        <v>1731</v>
      </c>
      <c r="L534" t="s">
        <v>181</v>
      </c>
      <c r="M534" s="4" t="s">
        <v>182</v>
      </c>
      <c r="N534" t="s">
        <v>1733</v>
      </c>
      <c r="O534" t="s">
        <v>183</v>
      </c>
    </row>
    <row r="535" spans="1:18" x14ac:dyDescent="0.25">
      <c r="A535" t="s">
        <v>1594</v>
      </c>
      <c r="B535" t="s">
        <v>1594</v>
      </c>
      <c r="C535" t="s">
        <v>1727</v>
      </c>
      <c r="D535" t="s">
        <v>707</v>
      </c>
      <c r="E535" t="s">
        <v>1732</v>
      </c>
      <c r="F535" t="s">
        <v>1610</v>
      </c>
      <c r="G535" t="s">
        <v>1699</v>
      </c>
      <c r="H535" t="s">
        <v>1735</v>
      </c>
      <c r="I535" t="s">
        <v>1736</v>
      </c>
      <c r="J535" t="s">
        <v>28</v>
      </c>
      <c r="K535" t="s">
        <v>1731</v>
      </c>
      <c r="L535" t="s">
        <v>30</v>
      </c>
      <c r="M535" s="2" t="s">
        <v>30</v>
      </c>
      <c r="O535" t="s">
        <v>1737</v>
      </c>
    </row>
    <row r="536" spans="1:18" x14ac:dyDescent="0.25">
      <c r="A536" t="s">
        <v>1594</v>
      </c>
      <c r="B536" t="s">
        <v>1594</v>
      </c>
      <c r="C536" t="s">
        <v>1727</v>
      </c>
      <c r="D536" t="s">
        <v>707</v>
      </c>
      <c r="E536" t="s">
        <v>1732</v>
      </c>
      <c r="F536" t="s">
        <v>1610</v>
      </c>
      <c r="G536" t="s">
        <v>1699</v>
      </c>
      <c r="H536" t="s">
        <v>1738</v>
      </c>
      <c r="I536" t="s">
        <v>1739</v>
      </c>
      <c r="J536" t="s">
        <v>28</v>
      </c>
      <c r="K536" t="s">
        <v>494</v>
      </c>
      <c r="L536" t="s">
        <v>52</v>
      </c>
      <c r="M536" s="3" t="s">
        <v>52</v>
      </c>
    </row>
    <row r="537" spans="1:18" x14ac:dyDescent="0.25">
      <c r="A537" t="s">
        <v>1594</v>
      </c>
      <c r="B537" t="s">
        <v>1594</v>
      </c>
      <c r="C537" t="s">
        <v>1740</v>
      </c>
      <c r="D537" t="s">
        <v>603</v>
      </c>
      <c r="E537" t="s">
        <v>1741</v>
      </c>
      <c r="F537" t="s">
        <v>1742</v>
      </c>
      <c r="G537" t="s">
        <v>1699</v>
      </c>
      <c r="H537" t="s">
        <v>1743</v>
      </c>
      <c r="I537" t="s">
        <v>1744</v>
      </c>
      <c r="J537" t="s">
        <v>28</v>
      </c>
      <c r="K537" t="s">
        <v>1731</v>
      </c>
      <c r="L537" t="s">
        <v>30</v>
      </c>
      <c r="M537" s="2" t="s">
        <v>30</v>
      </c>
    </row>
    <row r="538" spans="1:18" x14ac:dyDescent="0.25">
      <c r="A538" t="s">
        <v>1594</v>
      </c>
      <c r="B538" t="s">
        <v>1594</v>
      </c>
      <c r="C538" t="s">
        <v>1740</v>
      </c>
      <c r="D538" t="s">
        <v>603</v>
      </c>
      <c r="E538" t="s">
        <v>1745</v>
      </c>
      <c r="F538" t="s">
        <v>1742</v>
      </c>
      <c r="G538" t="s">
        <v>1699</v>
      </c>
      <c r="H538" t="s">
        <v>1746</v>
      </c>
      <c r="I538" t="s">
        <v>1747</v>
      </c>
      <c r="J538" t="s">
        <v>28</v>
      </c>
      <c r="K538" t="s">
        <v>1731</v>
      </c>
      <c r="L538" t="s">
        <v>30</v>
      </c>
      <c r="M538" s="2" t="s">
        <v>30</v>
      </c>
    </row>
    <row r="539" spans="1:18" x14ac:dyDescent="0.25">
      <c r="A539" t="s">
        <v>1594</v>
      </c>
      <c r="B539" t="s">
        <v>1594</v>
      </c>
      <c r="C539" t="s">
        <v>1748</v>
      </c>
      <c r="D539" t="s">
        <v>603</v>
      </c>
      <c r="E539" t="s">
        <v>1749</v>
      </c>
      <c r="F539" t="s">
        <v>1742</v>
      </c>
      <c r="G539" t="s">
        <v>115</v>
      </c>
      <c r="H539" t="s">
        <v>1750</v>
      </c>
      <c r="I539" t="s">
        <v>1751</v>
      </c>
      <c r="J539" t="s">
        <v>28</v>
      </c>
      <c r="K539" t="s">
        <v>1731</v>
      </c>
      <c r="L539" t="s">
        <v>30</v>
      </c>
      <c r="M539" s="2" t="s">
        <v>30</v>
      </c>
    </row>
    <row r="540" spans="1:18" x14ac:dyDescent="0.25">
      <c r="A540" t="s">
        <v>1594</v>
      </c>
      <c r="B540" t="s">
        <v>1594</v>
      </c>
      <c r="C540" t="s">
        <v>1752</v>
      </c>
      <c r="D540" t="s">
        <v>830</v>
      </c>
      <c r="E540" t="s">
        <v>1753</v>
      </c>
      <c r="F540" t="s">
        <v>1742</v>
      </c>
      <c r="G540" t="s">
        <v>115</v>
      </c>
      <c r="H540" t="s">
        <v>1754</v>
      </c>
      <c r="I540" t="s">
        <v>1755</v>
      </c>
      <c r="J540" t="s">
        <v>28</v>
      </c>
      <c r="K540" t="s">
        <v>494</v>
      </c>
      <c r="L540" t="s">
        <v>52</v>
      </c>
      <c r="M540" s="3" t="s">
        <v>52</v>
      </c>
    </row>
    <row r="541" spans="1:18" x14ac:dyDescent="0.25">
      <c r="A541" t="s">
        <v>1594</v>
      </c>
      <c r="B541" t="s">
        <v>1594</v>
      </c>
      <c r="C541" t="s">
        <v>1752</v>
      </c>
      <c r="D541" t="s">
        <v>830</v>
      </c>
      <c r="E541" t="s">
        <v>1756</v>
      </c>
      <c r="F541" t="s">
        <v>1742</v>
      </c>
      <c r="G541" t="s">
        <v>115</v>
      </c>
      <c r="H541" t="s">
        <v>1757</v>
      </c>
      <c r="I541" t="s">
        <v>1758</v>
      </c>
      <c r="J541" t="s">
        <v>28</v>
      </c>
      <c r="K541" t="s">
        <v>494</v>
      </c>
      <c r="L541" t="s">
        <v>52</v>
      </c>
      <c r="M541" s="3" t="s">
        <v>52</v>
      </c>
    </row>
    <row r="542" spans="1:18" x14ac:dyDescent="0.25">
      <c r="A542" t="s">
        <v>1594</v>
      </c>
      <c r="B542" t="s">
        <v>1594</v>
      </c>
      <c r="C542" t="s">
        <v>1752</v>
      </c>
      <c r="D542" t="s">
        <v>830</v>
      </c>
      <c r="E542" t="s">
        <v>1756</v>
      </c>
      <c r="F542" t="s">
        <v>1742</v>
      </c>
      <c r="G542" t="s">
        <v>115</v>
      </c>
      <c r="H542" t="s">
        <v>1759</v>
      </c>
      <c r="I542" t="s">
        <v>1760</v>
      </c>
      <c r="J542" t="s">
        <v>28</v>
      </c>
      <c r="K542" t="s">
        <v>494</v>
      </c>
      <c r="L542" t="s">
        <v>52</v>
      </c>
      <c r="M542" s="3" t="s">
        <v>52</v>
      </c>
    </row>
    <row r="543" spans="1:18" x14ac:dyDescent="0.25">
      <c r="A543" t="s">
        <v>1594</v>
      </c>
      <c r="B543" t="s">
        <v>1594</v>
      </c>
      <c r="C543" t="s">
        <v>1752</v>
      </c>
      <c r="D543" t="s">
        <v>830</v>
      </c>
      <c r="E543" t="s">
        <v>1756</v>
      </c>
      <c r="F543" t="s">
        <v>1742</v>
      </c>
      <c r="G543" t="s">
        <v>115</v>
      </c>
      <c r="H543" t="s">
        <v>1761</v>
      </c>
      <c r="I543" t="s">
        <v>1762</v>
      </c>
      <c r="J543" t="s">
        <v>28</v>
      </c>
      <c r="K543" t="s">
        <v>494</v>
      </c>
      <c r="L543" t="s">
        <v>52</v>
      </c>
      <c r="M543" s="3" t="s">
        <v>52</v>
      </c>
    </row>
    <row r="544" spans="1:18" x14ac:dyDescent="0.25">
      <c r="A544" t="s">
        <v>1594</v>
      </c>
      <c r="B544" t="s">
        <v>1594</v>
      </c>
      <c r="C544" t="s">
        <v>1752</v>
      </c>
      <c r="D544" t="s">
        <v>830</v>
      </c>
      <c r="E544" t="s">
        <v>1756</v>
      </c>
      <c r="F544" t="s">
        <v>1742</v>
      </c>
      <c r="G544" t="s">
        <v>115</v>
      </c>
      <c r="H544" t="s">
        <v>1763</v>
      </c>
      <c r="I544" t="s">
        <v>1764</v>
      </c>
      <c r="J544" t="s">
        <v>28</v>
      </c>
      <c r="K544" t="s">
        <v>494</v>
      </c>
      <c r="L544" t="s">
        <v>52</v>
      </c>
      <c r="M544" s="3" t="s">
        <v>52</v>
      </c>
    </row>
    <row r="545" spans="1:18" x14ac:dyDescent="0.25">
      <c r="A545" t="s">
        <v>1594</v>
      </c>
      <c r="B545" t="s">
        <v>1594</v>
      </c>
      <c r="C545" t="s">
        <v>1752</v>
      </c>
      <c r="D545" t="s">
        <v>830</v>
      </c>
      <c r="E545" t="s">
        <v>1756</v>
      </c>
      <c r="F545" t="s">
        <v>1742</v>
      </c>
      <c r="G545" t="s">
        <v>115</v>
      </c>
      <c r="H545" t="s">
        <v>1765</v>
      </c>
      <c r="I545" t="s">
        <v>1766</v>
      </c>
      <c r="J545" t="s">
        <v>28</v>
      </c>
      <c r="K545" t="s">
        <v>494</v>
      </c>
      <c r="L545" t="s">
        <v>52</v>
      </c>
      <c r="M545" s="3" t="s">
        <v>52</v>
      </c>
    </row>
    <row r="546" spans="1:18" x14ac:dyDescent="0.25">
      <c r="A546" t="s">
        <v>1594</v>
      </c>
      <c r="B546" t="s">
        <v>1594</v>
      </c>
      <c r="C546" t="s">
        <v>1767</v>
      </c>
      <c r="D546" t="s">
        <v>707</v>
      </c>
      <c r="E546" t="s">
        <v>1768</v>
      </c>
      <c r="F546" t="s">
        <v>1742</v>
      </c>
      <c r="G546" t="s">
        <v>1699</v>
      </c>
      <c r="H546" t="s">
        <v>1769</v>
      </c>
      <c r="I546" t="s">
        <v>1770</v>
      </c>
      <c r="J546" t="s">
        <v>28</v>
      </c>
      <c r="K546" t="s">
        <v>1193</v>
      </c>
      <c r="L546" t="s">
        <v>30</v>
      </c>
      <c r="M546" s="2" t="s">
        <v>30</v>
      </c>
      <c r="O546" t="s">
        <v>1771</v>
      </c>
    </row>
    <row r="547" spans="1:18" x14ac:dyDescent="0.25">
      <c r="A547" t="s">
        <v>1594</v>
      </c>
      <c r="B547" t="s">
        <v>1594</v>
      </c>
      <c r="C547" t="s">
        <v>1767</v>
      </c>
      <c r="D547" t="s">
        <v>707</v>
      </c>
      <c r="E547" t="s">
        <v>1772</v>
      </c>
      <c r="F547" t="s">
        <v>1742</v>
      </c>
      <c r="G547" t="s">
        <v>1699</v>
      </c>
      <c r="H547" t="s">
        <v>1773</v>
      </c>
      <c r="I547" t="s">
        <v>1774</v>
      </c>
      <c r="J547" t="s">
        <v>28</v>
      </c>
      <c r="K547" t="s">
        <v>1193</v>
      </c>
      <c r="L547" t="s">
        <v>30</v>
      </c>
      <c r="M547" s="2" t="s">
        <v>30</v>
      </c>
      <c r="O547" t="s">
        <v>1771</v>
      </c>
    </row>
    <row r="548" spans="1:18" x14ac:dyDescent="0.25">
      <c r="A548" t="s">
        <v>1775</v>
      </c>
      <c r="B548" t="s">
        <v>1775</v>
      </c>
      <c r="C548" t="s">
        <v>1776</v>
      </c>
      <c r="D548" t="s">
        <v>603</v>
      </c>
      <c r="E548" t="s">
        <v>1777</v>
      </c>
      <c r="F548" t="s">
        <v>1775</v>
      </c>
      <c r="G548" t="s">
        <v>1778</v>
      </c>
      <c r="H548" t="s">
        <v>1779</v>
      </c>
      <c r="I548" t="s">
        <v>1780</v>
      </c>
      <c r="J548" t="s">
        <v>28</v>
      </c>
      <c r="K548" t="s">
        <v>1781</v>
      </c>
      <c r="L548" t="s">
        <v>30</v>
      </c>
      <c r="M548" s="2" t="s">
        <v>30</v>
      </c>
    </row>
    <row r="549" spans="1:18" x14ac:dyDescent="0.25">
      <c r="A549" t="s">
        <v>1775</v>
      </c>
      <c r="B549" t="s">
        <v>1775</v>
      </c>
      <c r="C549" t="s">
        <v>1776</v>
      </c>
      <c r="D549" t="s">
        <v>603</v>
      </c>
      <c r="E549" t="s">
        <v>1782</v>
      </c>
      <c r="F549" t="s">
        <v>1775</v>
      </c>
      <c r="G549" t="s">
        <v>1778</v>
      </c>
      <c r="H549" t="s">
        <v>1783</v>
      </c>
      <c r="I549" t="s">
        <v>1784</v>
      </c>
      <c r="J549" t="s">
        <v>28</v>
      </c>
      <c r="K549" t="s">
        <v>1781</v>
      </c>
      <c r="L549" t="s">
        <v>30</v>
      </c>
      <c r="M549" s="2" t="s">
        <v>30</v>
      </c>
    </row>
    <row r="550" spans="1:18" x14ac:dyDescent="0.25">
      <c r="A550" t="s">
        <v>1775</v>
      </c>
      <c r="B550" t="s">
        <v>1775</v>
      </c>
      <c r="C550" t="s">
        <v>1785</v>
      </c>
      <c r="D550" t="s">
        <v>707</v>
      </c>
      <c r="E550" t="s">
        <v>1786</v>
      </c>
      <c r="F550" t="s">
        <v>1775</v>
      </c>
      <c r="G550" t="s">
        <v>1778</v>
      </c>
      <c r="H550" t="s">
        <v>1787</v>
      </c>
      <c r="I550" t="s">
        <v>1788</v>
      </c>
      <c r="J550" t="s">
        <v>28</v>
      </c>
      <c r="K550" t="s">
        <v>1493</v>
      </c>
      <c r="L550" t="s">
        <v>181</v>
      </c>
      <c r="M550" s="4" t="s">
        <v>182</v>
      </c>
      <c r="N550" t="s">
        <v>1787</v>
      </c>
      <c r="O550" t="s">
        <v>183</v>
      </c>
      <c r="R550" t="s">
        <v>343</v>
      </c>
    </row>
    <row r="551" spans="1:18" x14ac:dyDescent="0.25">
      <c r="A551" t="s">
        <v>1775</v>
      </c>
      <c r="B551" t="s">
        <v>1775</v>
      </c>
      <c r="C551" t="s">
        <v>1785</v>
      </c>
      <c r="D551" t="s">
        <v>707</v>
      </c>
      <c r="E551" t="s">
        <v>1786</v>
      </c>
      <c r="F551" t="s">
        <v>1775</v>
      </c>
      <c r="G551" t="s">
        <v>1778</v>
      </c>
      <c r="H551" t="s">
        <v>1789</v>
      </c>
      <c r="I551" t="s">
        <v>1790</v>
      </c>
      <c r="J551" t="s">
        <v>28</v>
      </c>
      <c r="K551" t="s">
        <v>1493</v>
      </c>
      <c r="L551" t="s">
        <v>30</v>
      </c>
      <c r="M551" s="2" t="s">
        <v>30</v>
      </c>
      <c r="N551" t="s">
        <v>1850</v>
      </c>
      <c r="R551" t="s">
        <v>343</v>
      </c>
    </row>
    <row r="552" spans="1:18" x14ac:dyDescent="0.25">
      <c r="A552" t="s">
        <v>1775</v>
      </c>
      <c r="B552" t="s">
        <v>1775</v>
      </c>
      <c r="C552" t="s">
        <v>1785</v>
      </c>
      <c r="D552" t="s">
        <v>707</v>
      </c>
      <c r="E552" t="s">
        <v>1786</v>
      </c>
      <c r="F552" t="s">
        <v>1775</v>
      </c>
      <c r="G552" t="s">
        <v>1778</v>
      </c>
      <c r="H552" t="s">
        <v>1791</v>
      </c>
      <c r="I552" t="s">
        <v>1792</v>
      </c>
      <c r="J552" t="s">
        <v>28</v>
      </c>
      <c r="K552" t="s">
        <v>1493</v>
      </c>
      <c r="L552" t="s">
        <v>30</v>
      </c>
      <c r="M552" s="2" t="s">
        <v>30</v>
      </c>
      <c r="N552" t="s">
        <v>1859</v>
      </c>
      <c r="R552" t="s">
        <v>343</v>
      </c>
    </row>
    <row r="553" spans="1:18" x14ac:dyDescent="0.25">
      <c r="A553" t="s">
        <v>1775</v>
      </c>
      <c r="B553" t="s">
        <v>1775</v>
      </c>
      <c r="C553" t="s">
        <v>1793</v>
      </c>
      <c r="D553" t="s">
        <v>707</v>
      </c>
      <c r="E553" t="s">
        <v>1794</v>
      </c>
      <c r="F553" t="s">
        <v>1775</v>
      </c>
      <c r="G553" t="s">
        <v>1778</v>
      </c>
      <c r="H553" t="s">
        <v>1795</v>
      </c>
      <c r="I553" t="s">
        <v>1796</v>
      </c>
      <c r="J553" t="s">
        <v>28</v>
      </c>
      <c r="K553" t="s">
        <v>1493</v>
      </c>
      <c r="L553" t="s">
        <v>30</v>
      </c>
      <c r="M553" s="2" t="s">
        <v>30</v>
      </c>
      <c r="R553" t="s">
        <v>343</v>
      </c>
    </row>
    <row r="554" spans="1:18" x14ac:dyDescent="0.25">
      <c r="A554" t="s">
        <v>1775</v>
      </c>
      <c r="B554" t="s">
        <v>1775</v>
      </c>
      <c r="C554" t="s">
        <v>1793</v>
      </c>
      <c r="D554" t="s">
        <v>707</v>
      </c>
      <c r="E554" t="s">
        <v>1797</v>
      </c>
      <c r="F554" t="s">
        <v>1775</v>
      </c>
      <c r="G554" t="s">
        <v>1778</v>
      </c>
      <c r="H554" t="s">
        <v>1798</v>
      </c>
      <c r="I554" t="s">
        <v>1799</v>
      </c>
      <c r="J554" t="s">
        <v>28</v>
      </c>
      <c r="K554" t="s">
        <v>1800</v>
      </c>
      <c r="L554" t="s">
        <v>30</v>
      </c>
      <c r="M554" s="2" t="s">
        <v>30</v>
      </c>
    </row>
    <row r="555" spans="1:18" x14ac:dyDescent="0.25">
      <c r="A555" t="s">
        <v>1775</v>
      </c>
      <c r="B555" t="s">
        <v>1775</v>
      </c>
      <c r="C555" t="s">
        <v>1793</v>
      </c>
      <c r="D555" t="s">
        <v>707</v>
      </c>
      <c r="E555" t="s">
        <v>1797</v>
      </c>
      <c r="F555" t="s">
        <v>1775</v>
      </c>
      <c r="G555" t="s">
        <v>1778</v>
      </c>
      <c r="H555" t="s">
        <v>1801</v>
      </c>
      <c r="I555" t="s">
        <v>1802</v>
      </c>
      <c r="J555" t="s">
        <v>28</v>
      </c>
      <c r="K555" t="s">
        <v>1193</v>
      </c>
      <c r="L555" t="s">
        <v>30</v>
      </c>
      <c r="M555" s="2" t="s">
        <v>30</v>
      </c>
      <c r="O555" t="s">
        <v>1803</v>
      </c>
      <c r="P555" t="s">
        <v>126</v>
      </c>
      <c r="Q555" t="s">
        <v>1804</v>
      </c>
      <c r="R555" t="s">
        <v>1193</v>
      </c>
    </row>
    <row r="556" spans="1:18" x14ac:dyDescent="0.25">
      <c r="A556" t="s">
        <v>1775</v>
      </c>
      <c r="B556" t="s">
        <v>1775</v>
      </c>
      <c r="C556" t="s">
        <v>1805</v>
      </c>
      <c r="D556" t="s">
        <v>707</v>
      </c>
      <c r="E556" t="s">
        <v>1806</v>
      </c>
      <c r="F556" t="s">
        <v>1775</v>
      </c>
      <c r="G556" t="s">
        <v>1778</v>
      </c>
      <c r="H556" t="s">
        <v>1807</v>
      </c>
      <c r="I556" t="s">
        <v>1808</v>
      </c>
      <c r="J556" t="s">
        <v>28</v>
      </c>
      <c r="K556" t="s">
        <v>1800</v>
      </c>
      <c r="L556" t="s">
        <v>30</v>
      </c>
      <c r="M556" s="2" t="s">
        <v>30</v>
      </c>
    </row>
    <row r="557" spans="1:18" x14ac:dyDescent="0.25">
      <c r="A557" t="s">
        <v>1775</v>
      </c>
      <c r="B557" t="s">
        <v>1775</v>
      </c>
      <c r="C557" t="s">
        <v>1805</v>
      </c>
      <c r="D557" t="s">
        <v>707</v>
      </c>
      <c r="E557" t="s">
        <v>1809</v>
      </c>
      <c r="F557" t="s">
        <v>1775</v>
      </c>
      <c r="G557" t="s">
        <v>1778</v>
      </c>
      <c r="H557" t="s">
        <v>1810</v>
      </c>
      <c r="I557" t="s">
        <v>1811</v>
      </c>
      <c r="J557" t="s">
        <v>28</v>
      </c>
      <c r="K557" t="s">
        <v>1800</v>
      </c>
      <c r="L557" t="s">
        <v>30</v>
      </c>
      <c r="M557" s="2" t="s">
        <v>30</v>
      </c>
    </row>
    <row r="558" spans="1:18" x14ac:dyDescent="0.25">
      <c r="A558" t="s">
        <v>1775</v>
      </c>
      <c r="B558" t="s">
        <v>1775</v>
      </c>
      <c r="C558" t="s">
        <v>1812</v>
      </c>
      <c r="D558" t="s">
        <v>707</v>
      </c>
      <c r="E558" t="s">
        <v>1813</v>
      </c>
      <c r="F558" t="s">
        <v>1775</v>
      </c>
      <c r="G558" t="s">
        <v>1778</v>
      </c>
      <c r="H558" t="s">
        <v>1814</v>
      </c>
      <c r="I558" t="s">
        <v>1815</v>
      </c>
      <c r="J558" t="s">
        <v>28</v>
      </c>
      <c r="K558" t="s">
        <v>1800</v>
      </c>
      <c r="L558" t="s">
        <v>30</v>
      </c>
      <c r="M558" s="2" t="s">
        <v>30</v>
      </c>
    </row>
    <row r="559" spans="1:18" x14ac:dyDescent="0.25">
      <c r="A559" t="s">
        <v>1775</v>
      </c>
      <c r="B559" t="s">
        <v>1775</v>
      </c>
      <c r="C559" t="s">
        <v>1812</v>
      </c>
      <c r="D559" t="s">
        <v>707</v>
      </c>
      <c r="E559" t="s">
        <v>1816</v>
      </c>
      <c r="F559" t="s">
        <v>1775</v>
      </c>
      <c r="G559" t="s">
        <v>1778</v>
      </c>
      <c r="H559" t="s">
        <v>1817</v>
      </c>
      <c r="I559" t="s">
        <v>1818</v>
      </c>
      <c r="J559" t="s">
        <v>28</v>
      </c>
      <c r="K559" t="s">
        <v>1800</v>
      </c>
      <c r="L559" t="s">
        <v>30</v>
      </c>
      <c r="M559" s="2" t="s">
        <v>30</v>
      </c>
    </row>
    <row r="560" spans="1:18" x14ac:dyDescent="0.25">
      <c r="A560" t="s">
        <v>1775</v>
      </c>
      <c r="B560" t="s">
        <v>1775</v>
      </c>
      <c r="C560" t="s">
        <v>1812</v>
      </c>
      <c r="D560" t="s">
        <v>707</v>
      </c>
      <c r="E560" t="s">
        <v>1816</v>
      </c>
      <c r="F560" t="s">
        <v>1775</v>
      </c>
      <c r="G560" t="s">
        <v>1778</v>
      </c>
      <c r="H560" t="s">
        <v>1819</v>
      </c>
      <c r="I560" t="s">
        <v>1820</v>
      </c>
      <c r="J560" t="s">
        <v>28</v>
      </c>
      <c r="K560" t="s">
        <v>1800</v>
      </c>
      <c r="L560" t="s">
        <v>30</v>
      </c>
      <c r="M560" s="2" t="s">
        <v>30</v>
      </c>
    </row>
    <row r="561" spans="1:18" x14ac:dyDescent="0.25">
      <c r="A561" t="s">
        <v>1775</v>
      </c>
      <c r="B561" t="s">
        <v>1775</v>
      </c>
      <c r="C561" t="s">
        <v>1821</v>
      </c>
      <c r="D561" t="s">
        <v>707</v>
      </c>
      <c r="E561" t="s">
        <v>1822</v>
      </c>
      <c r="F561" t="s">
        <v>1775</v>
      </c>
      <c r="G561" t="s">
        <v>1778</v>
      </c>
      <c r="H561" t="s">
        <v>1823</v>
      </c>
      <c r="I561" t="s">
        <v>1824</v>
      </c>
      <c r="J561" t="s">
        <v>28</v>
      </c>
      <c r="K561" t="s">
        <v>1800</v>
      </c>
      <c r="L561" t="s">
        <v>30</v>
      </c>
      <c r="M561" s="2" t="s">
        <v>30</v>
      </c>
    </row>
    <row r="562" spans="1:18" x14ac:dyDescent="0.25">
      <c r="A562" t="s">
        <v>1775</v>
      </c>
      <c r="B562" t="s">
        <v>1775</v>
      </c>
      <c r="C562" t="s">
        <v>1825</v>
      </c>
      <c r="D562" t="s">
        <v>707</v>
      </c>
      <c r="E562" t="s">
        <v>1826</v>
      </c>
      <c r="F562" t="s">
        <v>1775</v>
      </c>
      <c r="G562" t="s">
        <v>115</v>
      </c>
      <c r="H562" t="s">
        <v>1825</v>
      </c>
      <c r="I562" t="s">
        <v>1827</v>
      </c>
      <c r="J562" t="s">
        <v>28</v>
      </c>
      <c r="K562" t="s">
        <v>1800</v>
      </c>
      <c r="L562" t="s">
        <v>52</v>
      </c>
      <c r="M562" s="3" t="s">
        <v>52</v>
      </c>
      <c r="O562" t="s">
        <v>1828</v>
      </c>
    </row>
    <row r="563" spans="1:18" x14ac:dyDescent="0.25">
      <c r="A563" t="s">
        <v>1775</v>
      </c>
      <c r="B563" t="s">
        <v>1775</v>
      </c>
      <c r="C563" t="s">
        <v>1829</v>
      </c>
      <c r="D563" t="s">
        <v>707</v>
      </c>
      <c r="E563" t="s">
        <v>1830</v>
      </c>
      <c r="F563" t="s">
        <v>1775</v>
      </c>
      <c r="G563" t="s">
        <v>115</v>
      </c>
      <c r="H563" t="s">
        <v>1831</v>
      </c>
      <c r="I563" t="s">
        <v>1832</v>
      </c>
      <c r="J563" t="s">
        <v>28</v>
      </c>
      <c r="K563" t="s">
        <v>1800</v>
      </c>
      <c r="L563" t="s">
        <v>52</v>
      </c>
      <c r="M563" s="3" t="s">
        <v>52</v>
      </c>
      <c r="O563" t="s">
        <v>1828</v>
      </c>
    </row>
    <row r="564" spans="1:18" x14ac:dyDescent="0.25">
      <c r="A564" t="s">
        <v>1775</v>
      </c>
      <c r="B564" t="s">
        <v>1775</v>
      </c>
      <c r="C564" t="s">
        <v>1829</v>
      </c>
      <c r="D564" t="s">
        <v>707</v>
      </c>
      <c r="E564" t="s">
        <v>1833</v>
      </c>
      <c r="F564" t="s">
        <v>1775</v>
      </c>
      <c r="G564" t="s">
        <v>115</v>
      </c>
      <c r="H564" t="s">
        <v>1834</v>
      </c>
      <c r="I564" t="s">
        <v>1835</v>
      </c>
      <c r="J564" t="s">
        <v>28</v>
      </c>
      <c r="K564" t="s">
        <v>1800</v>
      </c>
      <c r="L564" t="s">
        <v>52</v>
      </c>
      <c r="M564" s="3" t="s">
        <v>52</v>
      </c>
      <c r="O564" t="s">
        <v>1828</v>
      </c>
    </row>
    <row r="565" spans="1:18" x14ac:dyDescent="0.25">
      <c r="A565" t="s">
        <v>1775</v>
      </c>
      <c r="B565" t="s">
        <v>1775</v>
      </c>
      <c r="C565" t="s">
        <v>1836</v>
      </c>
      <c r="D565" t="s">
        <v>707</v>
      </c>
      <c r="E565" t="s">
        <v>1837</v>
      </c>
      <c r="F565" t="s">
        <v>1775</v>
      </c>
      <c r="G565" t="s">
        <v>1778</v>
      </c>
      <c r="H565" t="s">
        <v>1838</v>
      </c>
      <c r="I565" t="s">
        <v>1839</v>
      </c>
      <c r="J565" t="s">
        <v>28</v>
      </c>
      <c r="K565" t="s">
        <v>1800</v>
      </c>
      <c r="L565" t="s">
        <v>30</v>
      </c>
      <c r="M565" s="2" t="s">
        <v>30</v>
      </c>
    </row>
    <row r="566" spans="1:18" x14ac:dyDescent="0.25">
      <c r="A566" t="s">
        <v>1775</v>
      </c>
      <c r="B566" t="s">
        <v>1775</v>
      </c>
      <c r="C566" t="s">
        <v>1836</v>
      </c>
      <c r="D566" t="s">
        <v>707</v>
      </c>
      <c r="E566" t="s">
        <v>1840</v>
      </c>
      <c r="F566" t="s">
        <v>1775</v>
      </c>
      <c r="G566" t="s">
        <v>1778</v>
      </c>
      <c r="H566" t="s">
        <v>1841</v>
      </c>
      <c r="I566" t="s">
        <v>1842</v>
      </c>
      <c r="J566" t="s">
        <v>28</v>
      </c>
      <c r="K566" t="s">
        <v>1800</v>
      </c>
      <c r="L566" t="s">
        <v>30</v>
      </c>
      <c r="M566" s="2" t="s">
        <v>30</v>
      </c>
    </row>
    <row r="567" spans="1:18" x14ac:dyDescent="0.25">
      <c r="A567" t="s">
        <v>1775</v>
      </c>
      <c r="B567" t="s">
        <v>1775</v>
      </c>
      <c r="C567" t="s">
        <v>1843</v>
      </c>
      <c r="D567" t="s">
        <v>707</v>
      </c>
      <c r="E567" t="s">
        <v>1844</v>
      </c>
      <c r="F567" t="s">
        <v>1775</v>
      </c>
      <c r="G567" t="s">
        <v>756</v>
      </c>
      <c r="H567" t="s">
        <v>1845</v>
      </c>
      <c r="I567" t="s">
        <v>1846</v>
      </c>
      <c r="J567" t="s">
        <v>28</v>
      </c>
      <c r="K567" t="s">
        <v>1493</v>
      </c>
      <c r="L567" t="s">
        <v>30</v>
      </c>
      <c r="M567" s="2" t="s">
        <v>30</v>
      </c>
      <c r="O567" t="s">
        <v>1847</v>
      </c>
      <c r="Q567" t="s">
        <v>1848</v>
      </c>
      <c r="R567" t="s">
        <v>343</v>
      </c>
    </row>
    <row r="568" spans="1:18" x14ac:dyDescent="0.25">
      <c r="A568" t="s">
        <v>1775</v>
      </c>
      <c r="B568" t="s">
        <v>1775</v>
      </c>
      <c r="C568" t="s">
        <v>1843</v>
      </c>
      <c r="D568" t="s">
        <v>707</v>
      </c>
      <c r="E568" t="s">
        <v>1849</v>
      </c>
      <c r="F568" t="s">
        <v>1775</v>
      </c>
      <c r="G568" t="s">
        <v>756</v>
      </c>
      <c r="H568" t="s">
        <v>1850</v>
      </c>
      <c r="I568" t="s">
        <v>1851</v>
      </c>
      <c r="J568" t="s">
        <v>28</v>
      </c>
      <c r="K568" t="s">
        <v>1800</v>
      </c>
      <c r="L568" t="s">
        <v>181</v>
      </c>
      <c r="M568" s="4" t="s">
        <v>182</v>
      </c>
      <c r="N568" t="s">
        <v>1850</v>
      </c>
      <c r="O568" t="s">
        <v>1852</v>
      </c>
      <c r="Q568" t="s">
        <v>1853</v>
      </c>
      <c r="R568" t="s">
        <v>343</v>
      </c>
    </row>
    <row r="569" spans="1:18" x14ac:dyDescent="0.25">
      <c r="A569" t="s">
        <v>1775</v>
      </c>
      <c r="B569" t="s">
        <v>1775</v>
      </c>
      <c r="C569" t="s">
        <v>1854</v>
      </c>
      <c r="D569" t="s">
        <v>707</v>
      </c>
      <c r="E569" t="s">
        <v>1855</v>
      </c>
      <c r="F569" t="s">
        <v>1775</v>
      </c>
      <c r="G569" t="s">
        <v>756</v>
      </c>
      <c r="H569" t="s">
        <v>1856</v>
      </c>
      <c r="I569" t="s">
        <v>1857</v>
      </c>
      <c r="J569" t="s">
        <v>28</v>
      </c>
      <c r="K569" t="s">
        <v>1800</v>
      </c>
      <c r="L569" t="s">
        <v>30</v>
      </c>
      <c r="M569" s="2" t="s">
        <v>30</v>
      </c>
    </row>
    <row r="570" spans="1:18" x14ac:dyDescent="0.25">
      <c r="A570" t="s">
        <v>1775</v>
      </c>
      <c r="B570" t="s">
        <v>1775</v>
      </c>
      <c r="C570" t="s">
        <v>1854</v>
      </c>
      <c r="D570" t="s">
        <v>707</v>
      </c>
      <c r="E570" t="s">
        <v>1858</v>
      </c>
      <c r="F570" t="s">
        <v>1775</v>
      </c>
      <c r="G570" t="s">
        <v>756</v>
      </c>
      <c r="H570" t="s">
        <v>1859</v>
      </c>
      <c r="I570" t="s">
        <v>1860</v>
      </c>
      <c r="J570" t="s">
        <v>28</v>
      </c>
      <c r="K570" t="s">
        <v>1800</v>
      </c>
      <c r="L570" t="s">
        <v>181</v>
      </c>
      <c r="M570" s="4" t="s">
        <v>182</v>
      </c>
      <c r="N570" t="s">
        <v>1859</v>
      </c>
      <c r="O570" t="s">
        <v>1852</v>
      </c>
      <c r="Q570" t="s">
        <v>1853</v>
      </c>
      <c r="R570" t="s">
        <v>343</v>
      </c>
    </row>
    <row r="571" spans="1:18" x14ac:dyDescent="0.25">
      <c r="A571" t="s">
        <v>1861</v>
      </c>
      <c r="B571" t="s">
        <v>1862</v>
      </c>
      <c r="C571" t="s">
        <v>1863</v>
      </c>
      <c r="D571" t="s">
        <v>830</v>
      </c>
      <c r="E571" t="s">
        <v>1864</v>
      </c>
      <c r="F571" t="s">
        <v>1865</v>
      </c>
      <c r="G571" t="s">
        <v>1866</v>
      </c>
      <c r="H571" t="s">
        <v>1867</v>
      </c>
      <c r="I571" t="s">
        <v>1868</v>
      </c>
      <c r="J571" t="s">
        <v>28</v>
      </c>
      <c r="K571" t="s">
        <v>87</v>
      </c>
      <c r="L571" t="s">
        <v>30</v>
      </c>
      <c r="M571" s="2" t="s">
        <v>30</v>
      </c>
      <c r="P571" t="s">
        <v>126</v>
      </c>
      <c r="Q571" t="s">
        <v>1869</v>
      </c>
      <c r="R571" t="s">
        <v>87</v>
      </c>
    </row>
    <row r="572" spans="1:18" x14ac:dyDescent="0.25">
      <c r="A572" t="s">
        <v>1861</v>
      </c>
      <c r="B572" t="s">
        <v>1862</v>
      </c>
      <c r="C572" t="s">
        <v>1863</v>
      </c>
      <c r="D572" t="s">
        <v>830</v>
      </c>
      <c r="E572" t="s">
        <v>1864</v>
      </c>
      <c r="F572" t="s">
        <v>1865</v>
      </c>
      <c r="G572" t="s">
        <v>1870</v>
      </c>
      <c r="H572" t="s">
        <v>1871</v>
      </c>
      <c r="I572" t="s">
        <v>1872</v>
      </c>
      <c r="J572" t="s">
        <v>28</v>
      </c>
      <c r="K572" t="s">
        <v>461</v>
      </c>
      <c r="L572" t="s">
        <v>30</v>
      </c>
      <c r="M572" s="2" t="s">
        <v>30</v>
      </c>
    </row>
    <row r="573" spans="1:18" x14ac:dyDescent="0.25">
      <c r="A573" t="s">
        <v>1861</v>
      </c>
      <c r="B573" t="s">
        <v>1862</v>
      </c>
      <c r="C573" t="s">
        <v>1863</v>
      </c>
      <c r="D573" t="s">
        <v>830</v>
      </c>
      <c r="E573" t="s">
        <v>1873</v>
      </c>
      <c r="F573" t="s">
        <v>1865</v>
      </c>
      <c r="G573" t="s">
        <v>756</v>
      </c>
      <c r="H573" t="s">
        <v>1874</v>
      </c>
      <c r="I573" t="s">
        <v>1875</v>
      </c>
      <c r="J573" t="s">
        <v>28</v>
      </c>
      <c r="K573" t="s">
        <v>87</v>
      </c>
      <c r="L573" t="s">
        <v>30</v>
      </c>
      <c r="M573" s="2" t="s">
        <v>30</v>
      </c>
      <c r="O573" t="s">
        <v>1876</v>
      </c>
      <c r="Q573" t="s">
        <v>1877</v>
      </c>
      <c r="R573" t="s">
        <v>87</v>
      </c>
    </row>
    <row r="574" spans="1:18" x14ac:dyDescent="0.25">
      <c r="A574" t="s">
        <v>1861</v>
      </c>
      <c r="B574" t="s">
        <v>1862</v>
      </c>
      <c r="C574" t="s">
        <v>1863</v>
      </c>
      <c r="D574" t="s">
        <v>830</v>
      </c>
      <c r="E574" t="s">
        <v>1873</v>
      </c>
      <c r="F574" t="s">
        <v>1865</v>
      </c>
      <c r="G574" t="s">
        <v>756</v>
      </c>
      <c r="H574" t="s">
        <v>1878</v>
      </c>
      <c r="I574" t="s">
        <v>1879</v>
      </c>
      <c r="J574" t="s">
        <v>28</v>
      </c>
      <c r="K574" t="s">
        <v>87</v>
      </c>
      <c r="L574" t="s">
        <v>30</v>
      </c>
      <c r="M574" s="2" t="s">
        <v>30</v>
      </c>
      <c r="O574" t="s">
        <v>1880</v>
      </c>
      <c r="P574" t="s">
        <v>126</v>
      </c>
      <c r="Q574" t="s">
        <v>1881</v>
      </c>
    </row>
    <row r="575" spans="1:18" x14ac:dyDescent="0.25">
      <c r="A575" t="s">
        <v>1861</v>
      </c>
      <c r="B575" t="s">
        <v>1862</v>
      </c>
      <c r="C575" t="s">
        <v>1882</v>
      </c>
      <c r="D575" t="s">
        <v>830</v>
      </c>
      <c r="E575" t="s">
        <v>1883</v>
      </c>
      <c r="F575" t="s">
        <v>1865</v>
      </c>
      <c r="G575" t="s">
        <v>1884</v>
      </c>
      <c r="H575" t="s">
        <v>1885</v>
      </c>
      <c r="I575" t="s">
        <v>1886</v>
      </c>
      <c r="J575" t="s">
        <v>28</v>
      </c>
      <c r="K575" t="s">
        <v>87</v>
      </c>
      <c r="L575" t="s">
        <v>30</v>
      </c>
      <c r="M575" s="2" t="s">
        <v>30</v>
      </c>
      <c r="O575" t="s">
        <v>1887</v>
      </c>
      <c r="P575" t="s">
        <v>126</v>
      </c>
      <c r="Q575" t="s">
        <v>1877</v>
      </c>
      <c r="R575" t="s">
        <v>87</v>
      </c>
    </row>
    <row r="576" spans="1:18" x14ac:dyDescent="0.25">
      <c r="A576" t="s">
        <v>1861</v>
      </c>
      <c r="B576" t="s">
        <v>1862</v>
      </c>
      <c r="C576" t="s">
        <v>1882</v>
      </c>
      <c r="D576" t="s">
        <v>830</v>
      </c>
      <c r="E576" t="s">
        <v>1883</v>
      </c>
      <c r="F576" t="s">
        <v>1865</v>
      </c>
      <c r="G576" t="s">
        <v>1870</v>
      </c>
      <c r="H576" t="s">
        <v>1888</v>
      </c>
      <c r="I576" t="s">
        <v>1889</v>
      </c>
      <c r="J576" t="s">
        <v>28</v>
      </c>
      <c r="K576" t="s">
        <v>87</v>
      </c>
      <c r="L576" t="s">
        <v>30</v>
      </c>
      <c r="M576" s="2" t="s">
        <v>30</v>
      </c>
      <c r="O576" t="s">
        <v>1890</v>
      </c>
      <c r="Q576" t="s">
        <v>1891</v>
      </c>
    </row>
    <row r="577" spans="1:18" x14ac:dyDescent="0.25">
      <c r="A577" t="s">
        <v>1861</v>
      </c>
      <c r="B577" t="s">
        <v>1862</v>
      </c>
      <c r="C577" t="s">
        <v>1882</v>
      </c>
      <c r="D577" t="s">
        <v>830</v>
      </c>
      <c r="E577" t="s">
        <v>1883</v>
      </c>
      <c r="F577" t="s">
        <v>1865</v>
      </c>
      <c r="G577" t="s">
        <v>1870</v>
      </c>
      <c r="H577" t="s">
        <v>1892</v>
      </c>
      <c r="I577" t="s">
        <v>1893</v>
      </c>
      <c r="J577" t="s">
        <v>28</v>
      </c>
      <c r="K577" t="s">
        <v>461</v>
      </c>
      <c r="L577" t="s">
        <v>52</v>
      </c>
      <c r="M577" s="3" t="s">
        <v>52</v>
      </c>
      <c r="O577" t="s">
        <v>1894</v>
      </c>
      <c r="Q577" t="s">
        <v>1895</v>
      </c>
      <c r="R577" t="s">
        <v>87</v>
      </c>
    </row>
    <row r="578" spans="1:18" x14ac:dyDescent="0.25">
      <c r="A578" t="s">
        <v>1861</v>
      </c>
      <c r="B578" t="s">
        <v>1862</v>
      </c>
      <c r="C578" t="s">
        <v>1882</v>
      </c>
      <c r="D578" t="s">
        <v>830</v>
      </c>
      <c r="E578" t="s">
        <v>1883</v>
      </c>
      <c r="F578" t="s">
        <v>1865</v>
      </c>
      <c r="G578" t="s">
        <v>1870</v>
      </c>
      <c r="H578" t="s">
        <v>1896</v>
      </c>
      <c r="I578" t="s">
        <v>1897</v>
      </c>
      <c r="J578" t="s">
        <v>28</v>
      </c>
      <c r="K578" t="s">
        <v>87</v>
      </c>
      <c r="L578" t="s">
        <v>30</v>
      </c>
      <c r="M578" s="2" t="s">
        <v>30</v>
      </c>
      <c r="O578" t="s">
        <v>1898</v>
      </c>
      <c r="Q578" t="s">
        <v>1877</v>
      </c>
      <c r="R578" t="s">
        <v>87</v>
      </c>
    </row>
    <row r="579" spans="1:18" x14ac:dyDescent="0.25">
      <c r="A579" t="s">
        <v>1861</v>
      </c>
      <c r="B579" t="s">
        <v>1862</v>
      </c>
      <c r="C579" t="s">
        <v>1882</v>
      </c>
      <c r="D579" t="s">
        <v>830</v>
      </c>
      <c r="E579" t="s">
        <v>1883</v>
      </c>
      <c r="F579" t="s">
        <v>1865</v>
      </c>
      <c r="G579" t="s">
        <v>1870</v>
      </c>
      <c r="H579" t="s">
        <v>1899</v>
      </c>
      <c r="I579" t="s">
        <v>1900</v>
      </c>
      <c r="J579" t="s">
        <v>28</v>
      </c>
      <c r="K579" t="s">
        <v>461</v>
      </c>
      <c r="L579" t="s">
        <v>30</v>
      </c>
      <c r="M579" s="2" t="s">
        <v>30</v>
      </c>
      <c r="O579" t="s">
        <v>1901</v>
      </c>
      <c r="Q579" t="s">
        <v>1895</v>
      </c>
      <c r="R579" t="s">
        <v>87</v>
      </c>
    </row>
    <row r="580" spans="1:18" x14ac:dyDescent="0.25">
      <c r="A580" t="s">
        <v>1902</v>
      </c>
      <c r="B580" t="s">
        <v>1902</v>
      </c>
      <c r="C580" t="s">
        <v>1903</v>
      </c>
      <c r="D580" t="s">
        <v>1091</v>
      </c>
      <c r="E580" t="s">
        <v>1904</v>
      </c>
      <c r="F580" t="s">
        <v>1905</v>
      </c>
      <c r="G580" t="s">
        <v>115</v>
      </c>
      <c r="H580" t="s">
        <v>1906</v>
      </c>
      <c r="I580" t="s">
        <v>1907</v>
      </c>
      <c r="J580" t="s">
        <v>28</v>
      </c>
      <c r="K580" t="s">
        <v>1908</v>
      </c>
      <c r="L580" t="s">
        <v>30</v>
      </c>
      <c r="M580" s="2" t="s">
        <v>30</v>
      </c>
    </row>
    <row r="581" spans="1:18" x14ac:dyDescent="0.25">
      <c r="A581" t="s">
        <v>1902</v>
      </c>
      <c r="B581" t="s">
        <v>1902</v>
      </c>
      <c r="C581" t="s">
        <v>1909</v>
      </c>
      <c r="D581" t="s">
        <v>1091</v>
      </c>
      <c r="E581" t="s">
        <v>1910</v>
      </c>
      <c r="F581" t="s">
        <v>1905</v>
      </c>
      <c r="G581" t="s">
        <v>115</v>
      </c>
      <c r="H581" t="s">
        <v>1911</v>
      </c>
      <c r="I581" t="s">
        <v>1912</v>
      </c>
      <c r="J581" t="s">
        <v>28</v>
      </c>
      <c r="K581" t="s">
        <v>1908</v>
      </c>
      <c r="L581" t="s">
        <v>30</v>
      </c>
      <c r="M581" s="2" t="s">
        <v>30</v>
      </c>
    </row>
    <row r="582" spans="1:18" x14ac:dyDescent="0.25">
      <c r="A582" t="s">
        <v>1902</v>
      </c>
      <c r="B582" t="s">
        <v>1902</v>
      </c>
      <c r="C582" t="s">
        <v>1909</v>
      </c>
      <c r="D582" t="s">
        <v>1091</v>
      </c>
      <c r="E582" t="s">
        <v>1910</v>
      </c>
      <c r="F582" t="s">
        <v>1905</v>
      </c>
      <c r="G582" t="s">
        <v>115</v>
      </c>
      <c r="H582" t="s">
        <v>1913</v>
      </c>
      <c r="I582" t="s">
        <v>1914</v>
      </c>
      <c r="J582" t="s">
        <v>28</v>
      </c>
      <c r="K582" t="s">
        <v>1908</v>
      </c>
      <c r="L582" t="s">
        <v>30</v>
      </c>
      <c r="M582" s="2" t="s">
        <v>30</v>
      </c>
    </row>
    <row r="583" spans="1:18" x14ac:dyDescent="0.25">
      <c r="A583" t="s">
        <v>1902</v>
      </c>
      <c r="B583" t="s">
        <v>1902</v>
      </c>
      <c r="C583" t="s">
        <v>1909</v>
      </c>
      <c r="D583" t="s">
        <v>1091</v>
      </c>
      <c r="E583" t="s">
        <v>1910</v>
      </c>
      <c r="F583" t="s">
        <v>1905</v>
      </c>
      <c r="G583" t="s">
        <v>115</v>
      </c>
      <c r="H583" t="s">
        <v>1915</v>
      </c>
      <c r="I583" t="s">
        <v>1916</v>
      </c>
      <c r="J583" t="s">
        <v>28</v>
      </c>
      <c r="K583" t="s">
        <v>1908</v>
      </c>
      <c r="L583" t="s">
        <v>30</v>
      </c>
      <c r="M583" s="2" t="s">
        <v>30</v>
      </c>
    </row>
    <row r="584" spans="1:18" x14ac:dyDescent="0.25">
      <c r="A584" t="s">
        <v>1902</v>
      </c>
      <c r="B584" t="s">
        <v>1902</v>
      </c>
      <c r="C584" t="s">
        <v>1909</v>
      </c>
      <c r="D584" t="s">
        <v>1091</v>
      </c>
      <c r="E584" t="s">
        <v>1910</v>
      </c>
      <c r="F584" t="s">
        <v>1905</v>
      </c>
      <c r="G584" t="s">
        <v>115</v>
      </c>
      <c r="H584" t="s">
        <v>1917</v>
      </c>
      <c r="I584" t="s">
        <v>1918</v>
      </c>
      <c r="J584" t="s">
        <v>28</v>
      </c>
      <c r="K584" t="s">
        <v>1908</v>
      </c>
      <c r="L584" t="s">
        <v>52</v>
      </c>
      <c r="M584" s="3" t="s">
        <v>52</v>
      </c>
      <c r="O584" t="s">
        <v>1919</v>
      </c>
    </row>
    <row r="585" spans="1:18" x14ac:dyDescent="0.25">
      <c r="A585" t="s">
        <v>1902</v>
      </c>
      <c r="B585" t="s">
        <v>1902</v>
      </c>
      <c r="C585" t="s">
        <v>1909</v>
      </c>
      <c r="D585" t="s">
        <v>1091</v>
      </c>
      <c r="E585" t="s">
        <v>1910</v>
      </c>
      <c r="F585" t="s">
        <v>1905</v>
      </c>
      <c r="G585" t="s">
        <v>115</v>
      </c>
      <c r="H585" t="s">
        <v>1920</v>
      </c>
      <c r="I585" t="s">
        <v>1921</v>
      </c>
      <c r="J585" t="s">
        <v>28</v>
      </c>
      <c r="K585" t="s">
        <v>1908</v>
      </c>
      <c r="L585" t="s">
        <v>30</v>
      </c>
      <c r="M585" s="2" t="s">
        <v>30</v>
      </c>
    </row>
    <row r="586" spans="1:18" s="82" customFormat="1" x14ac:dyDescent="0.25">
      <c r="A586" s="82" t="s">
        <v>1902</v>
      </c>
      <c r="B586" s="82" t="s">
        <v>1902</v>
      </c>
      <c r="C586" s="82" t="s">
        <v>1922</v>
      </c>
      <c r="D586" s="82" t="s">
        <v>1091</v>
      </c>
      <c r="E586" s="82" t="s">
        <v>1923</v>
      </c>
      <c r="F586" s="82" t="s">
        <v>1905</v>
      </c>
      <c r="G586" s="82" t="s">
        <v>115</v>
      </c>
      <c r="H586" s="82" t="s">
        <v>1924</v>
      </c>
      <c r="I586" s="82" t="s">
        <v>1925</v>
      </c>
      <c r="J586" s="82" t="s">
        <v>28</v>
      </c>
      <c r="K586" s="82" t="s">
        <v>634</v>
      </c>
      <c r="L586" t="s">
        <v>30</v>
      </c>
      <c r="M586" s="2" t="s">
        <v>30</v>
      </c>
      <c r="N586" s="82" t="s">
        <v>22</v>
      </c>
      <c r="O586" s="82" t="s">
        <v>1926</v>
      </c>
    </row>
    <row r="587" spans="1:18" x14ac:dyDescent="0.25">
      <c r="A587" t="s">
        <v>1902</v>
      </c>
      <c r="B587" t="s">
        <v>1902</v>
      </c>
      <c r="C587" t="s">
        <v>1922</v>
      </c>
      <c r="D587" t="s">
        <v>1091</v>
      </c>
      <c r="E587" t="s">
        <v>1923</v>
      </c>
      <c r="F587" t="s">
        <v>1905</v>
      </c>
      <c r="G587" t="s">
        <v>115</v>
      </c>
      <c r="H587" t="s">
        <v>1927</v>
      </c>
      <c r="I587" t="s">
        <v>1928</v>
      </c>
      <c r="J587" t="s">
        <v>28</v>
      </c>
      <c r="K587" t="s">
        <v>634</v>
      </c>
      <c r="L587" t="s">
        <v>30</v>
      </c>
      <c r="M587" s="2" t="s">
        <v>30</v>
      </c>
    </row>
    <row r="588" spans="1:18" x14ac:dyDescent="0.25">
      <c r="A588" t="s">
        <v>1902</v>
      </c>
      <c r="B588" t="s">
        <v>1902</v>
      </c>
      <c r="C588" t="s">
        <v>1922</v>
      </c>
      <c r="D588" t="s">
        <v>1091</v>
      </c>
      <c r="E588" t="s">
        <v>1923</v>
      </c>
      <c r="F588" t="s">
        <v>1905</v>
      </c>
      <c r="G588" t="s">
        <v>115</v>
      </c>
      <c r="H588" t="s">
        <v>1929</v>
      </c>
      <c r="I588" t="s">
        <v>1930</v>
      </c>
      <c r="J588" t="s">
        <v>28</v>
      </c>
      <c r="K588" t="s">
        <v>634</v>
      </c>
      <c r="L588" t="s">
        <v>30</v>
      </c>
      <c r="M588" s="2" t="s">
        <v>30</v>
      </c>
    </row>
    <row r="589" spans="1:18" x14ac:dyDescent="0.25">
      <c r="A589" t="s">
        <v>1902</v>
      </c>
      <c r="B589" t="s">
        <v>1902</v>
      </c>
      <c r="C589" t="s">
        <v>1922</v>
      </c>
      <c r="D589" t="s">
        <v>1091</v>
      </c>
      <c r="E589" t="s">
        <v>1923</v>
      </c>
      <c r="F589" t="s">
        <v>1905</v>
      </c>
      <c r="G589" t="s">
        <v>115</v>
      </c>
      <c r="H589" t="s">
        <v>1931</v>
      </c>
      <c r="I589" t="s">
        <v>1932</v>
      </c>
      <c r="J589" t="s">
        <v>28</v>
      </c>
      <c r="K589" t="s">
        <v>634</v>
      </c>
      <c r="L589" t="s">
        <v>30</v>
      </c>
      <c r="M589" s="2" t="s">
        <v>30</v>
      </c>
    </row>
    <row r="590" spans="1:18" x14ac:dyDescent="0.25">
      <c r="A590" t="s">
        <v>1902</v>
      </c>
      <c r="B590" t="s">
        <v>1902</v>
      </c>
      <c r="C590" t="s">
        <v>1933</v>
      </c>
      <c r="D590" t="s">
        <v>1091</v>
      </c>
      <c r="E590" t="s">
        <v>1934</v>
      </c>
      <c r="F590" t="s">
        <v>1905</v>
      </c>
      <c r="G590" t="s">
        <v>62</v>
      </c>
      <c r="H590" t="s">
        <v>1935</v>
      </c>
      <c r="I590" t="s">
        <v>1936</v>
      </c>
      <c r="J590" t="s">
        <v>28</v>
      </c>
      <c r="L590" t="s">
        <v>52</v>
      </c>
      <c r="M590" s="3" t="s">
        <v>52</v>
      </c>
      <c r="O590" t="s">
        <v>1937</v>
      </c>
    </row>
    <row r="591" spans="1:18" x14ac:dyDescent="0.25">
      <c r="A591" t="s">
        <v>1902</v>
      </c>
      <c r="B591" t="s">
        <v>1902</v>
      </c>
      <c r="C591" t="s">
        <v>1933</v>
      </c>
      <c r="D591" t="s">
        <v>1091</v>
      </c>
      <c r="E591" t="s">
        <v>1934</v>
      </c>
      <c r="F591" t="s">
        <v>1905</v>
      </c>
      <c r="G591" t="s">
        <v>62</v>
      </c>
      <c r="H591" t="s">
        <v>1938</v>
      </c>
      <c r="I591" t="s">
        <v>1939</v>
      </c>
      <c r="J591" t="s">
        <v>28</v>
      </c>
      <c r="L591" t="s">
        <v>52</v>
      </c>
      <c r="M591" s="3" t="s">
        <v>52</v>
      </c>
      <c r="O591" t="s">
        <v>1937</v>
      </c>
    </row>
    <row r="592" spans="1:18" x14ac:dyDescent="0.25">
      <c r="A592" t="s">
        <v>1902</v>
      </c>
      <c r="B592" t="s">
        <v>1902</v>
      </c>
      <c r="C592" t="s">
        <v>1933</v>
      </c>
      <c r="D592" t="s">
        <v>1091</v>
      </c>
      <c r="E592" t="s">
        <v>1934</v>
      </c>
      <c r="F592" t="s">
        <v>1905</v>
      </c>
      <c r="G592" t="s">
        <v>62</v>
      </c>
      <c r="H592" t="s">
        <v>1940</v>
      </c>
      <c r="I592" t="s">
        <v>1941</v>
      </c>
      <c r="J592" t="s">
        <v>28</v>
      </c>
      <c r="L592" t="s">
        <v>52</v>
      </c>
      <c r="M592" s="3" t="s">
        <v>52</v>
      </c>
      <c r="O592" t="s">
        <v>1937</v>
      </c>
    </row>
    <row r="593" spans="1:16" x14ac:dyDescent="0.25">
      <c r="A593" t="s">
        <v>1902</v>
      </c>
      <c r="B593" t="s">
        <v>1902</v>
      </c>
      <c r="C593" t="s">
        <v>1933</v>
      </c>
      <c r="D593" t="s">
        <v>1091</v>
      </c>
      <c r="E593" t="s">
        <v>1934</v>
      </c>
      <c r="F593" t="s">
        <v>1905</v>
      </c>
      <c r="G593" t="s">
        <v>62</v>
      </c>
      <c r="H593" t="s">
        <v>1942</v>
      </c>
      <c r="I593" t="s">
        <v>1943</v>
      </c>
      <c r="J593" t="s">
        <v>28</v>
      </c>
      <c r="L593" t="s">
        <v>52</v>
      </c>
      <c r="M593" s="3" t="s">
        <v>52</v>
      </c>
      <c r="O593" t="s">
        <v>1937</v>
      </c>
    </row>
    <row r="594" spans="1:16" x14ac:dyDescent="0.25">
      <c r="A594" t="s">
        <v>1902</v>
      </c>
      <c r="B594" t="s">
        <v>1902</v>
      </c>
      <c r="C594" t="s">
        <v>1933</v>
      </c>
      <c r="D594" t="s">
        <v>1091</v>
      </c>
      <c r="E594" t="s">
        <v>1934</v>
      </c>
      <c r="F594" t="s">
        <v>1905</v>
      </c>
      <c r="G594" t="s">
        <v>62</v>
      </c>
      <c r="H594" t="s">
        <v>1944</v>
      </c>
      <c r="I594" t="s">
        <v>1945</v>
      </c>
      <c r="J594" t="s">
        <v>28</v>
      </c>
      <c r="L594" t="s">
        <v>52</v>
      </c>
      <c r="M594" s="3" t="s">
        <v>52</v>
      </c>
      <c r="O594" t="s">
        <v>1937</v>
      </c>
    </row>
    <row r="595" spans="1:16" x14ac:dyDescent="0.25">
      <c r="A595" t="s">
        <v>1902</v>
      </c>
      <c r="B595" t="s">
        <v>1902</v>
      </c>
      <c r="C595" t="s">
        <v>1933</v>
      </c>
      <c r="D595" t="s">
        <v>1091</v>
      </c>
      <c r="E595" t="s">
        <v>1934</v>
      </c>
      <c r="F595" t="s">
        <v>1905</v>
      </c>
      <c r="G595" t="s">
        <v>62</v>
      </c>
      <c r="H595" t="s">
        <v>1946</v>
      </c>
      <c r="I595" t="s">
        <v>1947</v>
      </c>
      <c r="J595" t="s">
        <v>28</v>
      </c>
      <c r="L595" t="s">
        <v>52</v>
      </c>
      <c r="M595" s="3" t="s">
        <v>52</v>
      </c>
      <c r="O595" t="s">
        <v>1937</v>
      </c>
    </row>
    <row r="596" spans="1:16" x14ac:dyDescent="0.25">
      <c r="A596" t="s">
        <v>1902</v>
      </c>
      <c r="B596" t="s">
        <v>1902</v>
      </c>
      <c r="C596" t="s">
        <v>1948</v>
      </c>
      <c r="D596" t="s">
        <v>1187</v>
      </c>
      <c r="E596" t="s">
        <v>1949</v>
      </c>
      <c r="F596" t="s">
        <v>1905</v>
      </c>
      <c r="G596" t="s">
        <v>1950</v>
      </c>
      <c r="H596" t="s">
        <v>1951</v>
      </c>
      <c r="I596" t="s">
        <v>970</v>
      </c>
      <c r="J596" t="s">
        <v>28</v>
      </c>
      <c r="L596" t="s">
        <v>52</v>
      </c>
      <c r="M596" s="3" t="s">
        <v>52</v>
      </c>
      <c r="O596" t="s">
        <v>1952</v>
      </c>
    </row>
    <row r="597" spans="1:16" x14ac:dyDescent="0.25">
      <c r="A597" t="s">
        <v>1902</v>
      </c>
      <c r="B597" t="s">
        <v>1902</v>
      </c>
      <c r="C597" t="s">
        <v>1953</v>
      </c>
      <c r="D597" t="s">
        <v>1187</v>
      </c>
      <c r="E597" t="s">
        <v>1954</v>
      </c>
      <c r="F597" t="s">
        <v>1905</v>
      </c>
      <c r="G597" t="s">
        <v>115</v>
      </c>
      <c r="H597" t="s">
        <v>1955</v>
      </c>
      <c r="I597" t="s">
        <v>970</v>
      </c>
      <c r="J597" t="s">
        <v>28</v>
      </c>
      <c r="L597" t="s">
        <v>52</v>
      </c>
      <c r="M597" s="3" t="s">
        <v>52</v>
      </c>
      <c r="O597" t="s">
        <v>1952</v>
      </c>
    </row>
    <row r="598" spans="1:16" x14ac:dyDescent="0.25">
      <c r="A598" t="s">
        <v>1902</v>
      </c>
      <c r="B598" t="s">
        <v>1902</v>
      </c>
      <c r="C598" t="s">
        <v>1956</v>
      </c>
      <c r="D598" t="s">
        <v>1187</v>
      </c>
      <c r="E598" t="s">
        <v>1957</v>
      </c>
      <c r="F598" t="s">
        <v>1905</v>
      </c>
      <c r="G598" t="s">
        <v>115</v>
      </c>
      <c r="H598" t="s">
        <v>1958</v>
      </c>
      <c r="I598" t="s">
        <v>970</v>
      </c>
      <c r="J598" t="s">
        <v>28</v>
      </c>
      <c r="L598" t="s">
        <v>52</v>
      </c>
      <c r="M598" s="3" t="s">
        <v>52</v>
      </c>
      <c r="O598" t="s">
        <v>1952</v>
      </c>
    </row>
    <row r="599" spans="1:16" x14ac:dyDescent="0.25">
      <c r="A599" t="s">
        <v>1902</v>
      </c>
      <c r="B599" t="s">
        <v>1902</v>
      </c>
      <c r="C599" t="s">
        <v>1959</v>
      </c>
      <c r="D599" t="s">
        <v>1187</v>
      </c>
      <c r="E599" t="s">
        <v>1960</v>
      </c>
      <c r="F599" t="s">
        <v>1905</v>
      </c>
      <c r="G599" t="s">
        <v>115</v>
      </c>
      <c r="H599" t="s">
        <v>1961</v>
      </c>
      <c r="I599" t="s">
        <v>1962</v>
      </c>
      <c r="J599" t="s">
        <v>28</v>
      </c>
      <c r="K599" t="s">
        <v>634</v>
      </c>
      <c r="L599" t="s">
        <v>30</v>
      </c>
      <c r="M599" s="2" t="s">
        <v>30</v>
      </c>
    </row>
    <row r="600" spans="1:16" x14ac:dyDescent="0.25">
      <c r="A600" t="s">
        <v>1902</v>
      </c>
      <c r="B600" t="s">
        <v>1902</v>
      </c>
      <c r="C600" t="s">
        <v>1959</v>
      </c>
      <c r="D600" t="s">
        <v>1187</v>
      </c>
      <c r="E600" t="s">
        <v>1960</v>
      </c>
      <c r="F600" t="s">
        <v>1905</v>
      </c>
      <c r="G600" t="s">
        <v>115</v>
      </c>
      <c r="H600" t="s">
        <v>1963</v>
      </c>
      <c r="I600" t="s">
        <v>1964</v>
      </c>
      <c r="J600" t="s">
        <v>28</v>
      </c>
      <c r="K600" t="s">
        <v>634</v>
      </c>
      <c r="L600" t="s">
        <v>30</v>
      </c>
      <c r="M600" s="2" t="s">
        <v>30</v>
      </c>
    </row>
    <row r="601" spans="1:16" x14ac:dyDescent="0.25">
      <c r="A601" t="s">
        <v>1902</v>
      </c>
      <c r="B601" t="s">
        <v>1902</v>
      </c>
      <c r="C601" t="s">
        <v>1959</v>
      </c>
      <c r="D601" t="s">
        <v>1187</v>
      </c>
      <c r="E601" t="s">
        <v>1960</v>
      </c>
      <c r="F601" t="s">
        <v>1905</v>
      </c>
      <c r="G601" t="s">
        <v>115</v>
      </c>
      <c r="H601" t="s">
        <v>1965</v>
      </c>
      <c r="I601" t="s">
        <v>1966</v>
      </c>
      <c r="J601" t="s">
        <v>28</v>
      </c>
      <c r="K601" t="s">
        <v>634</v>
      </c>
      <c r="L601" t="s">
        <v>30</v>
      </c>
      <c r="M601" s="2" t="s">
        <v>30</v>
      </c>
    </row>
    <row r="602" spans="1:16" x14ac:dyDescent="0.25">
      <c r="A602" t="s">
        <v>1902</v>
      </c>
      <c r="B602" t="s">
        <v>1902</v>
      </c>
      <c r="C602" t="s">
        <v>1967</v>
      </c>
      <c r="D602" t="s">
        <v>1187</v>
      </c>
      <c r="E602" t="s">
        <v>1968</v>
      </c>
      <c r="F602" t="s">
        <v>1905</v>
      </c>
      <c r="G602" t="s">
        <v>1950</v>
      </c>
      <c r="H602" t="s">
        <v>1969</v>
      </c>
      <c r="I602" t="s">
        <v>1970</v>
      </c>
      <c r="J602" t="s">
        <v>28</v>
      </c>
      <c r="K602" t="s">
        <v>634</v>
      </c>
      <c r="L602" t="s">
        <v>30</v>
      </c>
      <c r="M602" s="2" t="s">
        <v>30</v>
      </c>
    </row>
    <row r="603" spans="1:16" x14ac:dyDescent="0.25">
      <c r="A603" t="s">
        <v>1902</v>
      </c>
      <c r="B603" t="s">
        <v>1902</v>
      </c>
      <c r="C603" s="81" t="s">
        <v>1967</v>
      </c>
      <c r="D603" t="s">
        <v>1187</v>
      </c>
      <c r="E603" t="s">
        <v>1968</v>
      </c>
      <c r="F603" t="s">
        <v>1905</v>
      </c>
      <c r="G603" t="s">
        <v>1950</v>
      </c>
      <c r="H603" t="s">
        <v>1971</v>
      </c>
      <c r="I603" t="s">
        <v>1972</v>
      </c>
      <c r="J603" t="s">
        <v>28</v>
      </c>
      <c r="K603" t="s">
        <v>634</v>
      </c>
      <c r="L603" t="s">
        <v>30</v>
      </c>
      <c r="M603" s="2" t="s">
        <v>30</v>
      </c>
      <c r="N603" t="s">
        <v>22</v>
      </c>
      <c r="O603" t="s">
        <v>1973</v>
      </c>
    </row>
    <row r="604" spans="1:16" x14ac:dyDescent="0.25">
      <c r="A604" t="s">
        <v>1902</v>
      </c>
      <c r="B604" t="s">
        <v>1902</v>
      </c>
      <c r="C604" t="s">
        <v>1967</v>
      </c>
      <c r="D604" t="s">
        <v>1187</v>
      </c>
      <c r="E604" t="s">
        <v>1968</v>
      </c>
      <c r="F604" t="s">
        <v>1905</v>
      </c>
      <c r="G604" t="s">
        <v>1950</v>
      </c>
      <c r="H604" t="s">
        <v>1974</v>
      </c>
      <c r="I604" t="s">
        <v>1975</v>
      </c>
      <c r="J604" t="s">
        <v>28</v>
      </c>
      <c r="K604" t="s">
        <v>634</v>
      </c>
      <c r="L604" t="s">
        <v>30</v>
      </c>
      <c r="M604" s="2" t="s">
        <v>30</v>
      </c>
    </row>
    <row r="605" spans="1:16" x14ac:dyDescent="0.25">
      <c r="A605" t="s">
        <v>1902</v>
      </c>
      <c r="B605" t="s">
        <v>1902</v>
      </c>
      <c r="C605" t="s">
        <v>1967</v>
      </c>
      <c r="D605" t="s">
        <v>1187</v>
      </c>
      <c r="E605" t="s">
        <v>1968</v>
      </c>
      <c r="F605" t="s">
        <v>1905</v>
      </c>
      <c r="G605" t="s">
        <v>1950</v>
      </c>
      <c r="H605" t="s">
        <v>1976</v>
      </c>
      <c r="I605" t="s">
        <v>1977</v>
      </c>
      <c r="J605" t="s">
        <v>28</v>
      </c>
      <c r="K605" t="s">
        <v>634</v>
      </c>
      <c r="L605" t="s">
        <v>30</v>
      </c>
      <c r="M605" s="2" t="s">
        <v>30</v>
      </c>
    </row>
    <row r="606" spans="1:16" x14ac:dyDescent="0.25">
      <c r="A606" t="s">
        <v>1902</v>
      </c>
      <c r="B606" t="s">
        <v>1902</v>
      </c>
      <c r="C606" t="s">
        <v>1967</v>
      </c>
      <c r="D606" t="s">
        <v>1187</v>
      </c>
      <c r="E606" t="s">
        <v>1968</v>
      </c>
      <c r="F606" t="s">
        <v>1905</v>
      </c>
      <c r="G606" t="s">
        <v>1950</v>
      </c>
      <c r="H606" t="s">
        <v>1978</v>
      </c>
      <c r="I606" t="s">
        <v>1979</v>
      </c>
      <c r="J606" t="s">
        <v>28</v>
      </c>
      <c r="K606" t="s">
        <v>634</v>
      </c>
      <c r="L606" t="s">
        <v>30</v>
      </c>
      <c r="M606" s="2" t="s">
        <v>30</v>
      </c>
    </row>
    <row r="607" spans="1:16" x14ac:dyDescent="0.25">
      <c r="A607" t="s">
        <v>1902</v>
      </c>
      <c r="B607" t="s">
        <v>1902</v>
      </c>
      <c r="C607" s="81" t="s">
        <v>1980</v>
      </c>
      <c r="D607" t="s">
        <v>1187</v>
      </c>
      <c r="E607" t="s">
        <v>1981</v>
      </c>
      <c r="F607" t="s">
        <v>1982</v>
      </c>
      <c r="G607" t="s">
        <v>1950</v>
      </c>
      <c r="H607" t="s">
        <v>1983</v>
      </c>
      <c r="I607" t="s">
        <v>1984</v>
      </c>
      <c r="J607" t="s">
        <v>28</v>
      </c>
      <c r="K607" t="s">
        <v>118</v>
      </c>
      <c r="L607" t="s">
        <v>30</v>
      </c>
      <c r="M607" s="2" t="s">
        <v>30</v>
      </c>
      <c r="N607" t="s">
        <v>78</v>
      </c>
      <c r="O607" t="s">
        <v>1985</v>
      </c>
      <c r="P607" t="s">
        <v>126</v>
      </c>
    </row>
    <row r="608" spans="1:16" s="83" customFormat="1" x14ac:dyDescent="0.25">
      <c r="A608" s="83" t="s">
        <v>1902</v>
      </c>
      <c r="B608" s="83" t="s">
        <v>1902</v>
      </c>
      <c r="C608" s="83" t="s">
        <v>1980</v>
      </c>
      <c r="D608" s="83" t="s">
        <v>1187</v>
      </c>
      <c r="E608" s="83" t="s">
        <v>1981</v>
      </c>
      <c r="F608" s="83" t="s">
        <v>1982</v>
      </c>
      <c r="G608" s="83" t="s">
        <v>1950</v>
      </c>
      <c r="H608" s="83" t="s">
        <v>1986</v>
      </c>
      <c r="I608" s="83" t="s">
        <v>1987</v>
      </c>
      <c r="J608" s="83" t="s">
        <v>28</v>
      </c>
      <c r="K608" s="83" t="s">
        <v>118</v>
      </c>
      <c r="L608" t="s">
        <v>30</v>
      </c>
      <c r="M608" s="2" t="s">
        <v>30</v>
      </c>
      <c r="N608" s="83" t="s">
        <v>78</v>
      </c>
      <c r="O608" s="83" t="s">
        <v>1988</v>
      </c>
    </row>
    <row r="609" spans="1:15" s="83" customFormat="1" x14ac:dyDescent="0.25">
      <c r="A609" s="83" t="s">
        <v>1902</v>
      </c>
      <c r="B609" s="83" t="s">
        <v>1902</v>
      </c>
      <c r="C609" s="83" t="s">
        <v>1980</v>
      </c>
      <c r="D609" s="83" t="s">
        <v>1187</v>
      </c>
      <c r="E609" s="83" t="s">
        <v>1981</v>
      </c>
      <c r="F609" s="83" t="s">
        <v>1982</v>
      </c>
      <c r="G609" s="83" t="s">
        <v>1950</v>
      </c>
      <c r="H609" s="83" t="s">
        <v>1989</v>
      </c>
      <c r="I609" s="83" t="s">
        <v>1990</v>
      </c>
      <c r="J609" s="83" t="s">
        <v>28</v>
      </c>
      <c r="K609" s="83" t="s">
        <v>118</v>
      </c>
      <c r="L609" t="s">
        <v>30</v>
      </c>
      <c r="M609" s="2" t="s">
        <v>30</v>
      </c>
      <c r="N609" s="83" t="s">
        <v>78</v>
      </c>
      <c r="O609" s="83" t="s">
        <v>1991</v>
      </c>
    </row>
    <row r="610" spans="1:15" x14ac:dyDescent="0.25">
      <c r="A610" t="s">
        <v>1902</v>
      </c>
      <c r="B610" t="s">
        <v>1902</v>
      </c>
      <c r="C610" t="s">
        <v>1980</v>
      </c>
      <c r="D610" t="s">
        <v>1187</v>
      </c>
      <c r="E610" t="s">
        <v>1981</v>
      </c>
      <c r="F610" t="s">
        <v>1982</v>
      </c>
      <c r="G610" t="s">
        <v>1950</v>
      </c>
      <c r="H610" t="s">
        <v>1992</v>
      </c>
      <c r="I610" t="s">
        <v>1993</v>
      </c>
      <c r="J610" t="s">
        <v>28</v>
      </c>
      <c r="K610" t="s">
        <v>118</v>
      </c>
      <c r="L610" t="s">
        <v>30</v>
      </c>
      <c r="M610" s="2" t="s">
        <v>30</v>
      </c>
    </row>
    <row r="611" spans="1:15" s="83" customFormat="1" x14ac:dyDescent="0.25">
      <c r="A611" s="83" t="s">
        <v>1902</v>
      </c>
      <c r="B611" s="83" t="s">
        <v>1902</v>
      </c>
      <c r="C611" s="83" t="s">
        <v>1980</v>
      </c>
      <c r="D611" s="83" t="s">
        <v>1187</v>
      </c>
      <c r="E611" s="83" t="s">
        <v>1981</v>
      </c>
      <c r="F611" s="83" t="s">
        <v>1982</v>
      </c>
      <c r="G611" s="83" t="s">
        <v>1950</v>
      </c>
      <c r="H611" s="83" t="s">
        <v>1994</v>
      </c>
      <c r="I611" s="83" t="s">
        <v>1995</v>
      </c>
      <c r="J611" s="83" t="s">
        <v>28</v>
      </c>
      <c r="K611" s="83" t="s">
        <v>118</v>
      </c>
      <c r="L611" t="s">
        <v>30</v>
      </c>
      <c r="M611" s="2" t="s">
        <v>30</v>
      </c>
      <c r="N611" s="83" t="s">
        <v>78</v>
      </c>
      <c r="O611" s="83" t="s">
        <v>1996</v>
      </c>
    </row>
    <row r="612" spans="1:15" x14ac:dyDescent="0.25">
      <c r="A612" t="s">
        <v>1902</v>
      </c>
      <c r="B612" t="s">
        <v>1902</v>
      </c>
      <c r="C612" t="s">
        <v>1997</v>
      </c>
      <c r="D612" t="s">
        <v>1187</v>
      </c>
      <c r="E612" t="s">
        <v>1998</v>
      </c>
      <c r="F612" t="s">
        <v>1982</v>
      </c>
      <c r="G612" t="s">
        <v>115</v>
      </c>
      <c r="H612" t="s">
        <v>1999</v>
      </c>
      <c r="I612" t="s">
        <v>2000</v>
      </c>
      <c r="J612" t="s">
        <v>28</v>
      </c>
      <c r="L612" t="s">
        <v>623</v>
      </c>
      <c r="M612" s="6" t="s">
        <v>373</v>
      </c>
      <c r="O612" t="s">
        <v>2001</v>
      </c>
    </row>
    <row r="613" spans="1:15" x14ac:dyDescent="0.25">
      <c r="A613" t="s">
        <v>1902</v>
      </c>
      <c r="B613" t="s">
        <v>1902</v>
      </c>
      <c r="C613" t="s">
        <v>1997</v>
      </c>
      <c r="D613" t="s">
        <v>1187</v>
      </c>
      <c r="E613" t="s">
        <v>1998</v>
      </c>
      <c r="F613" t="s">
        <v>1982</v>
      </c>
      <c r="G613" t="s">
        <v>115</v>
      </c>
      <c r="H613" t="s">
        <v>2002</v>
      </c>
      <c r="I613" t="s">
        <v>2003</v>
      </c>
      <c r="J613" t="s">
        <v>28</v>
      </c>
      <c r="L613" t="s">
        <v>623</v>
      </c>
      <c r="M613" s="6" t="s">
        <v>373</v>
      </c>
      <c r="O613" t="s">
        <v>2001</v>
      </c>
    </row>
    <row r="614" spans="1:15" x14ac:dyDescent="0.25">
      <c r="A614" t="s">
        <v>1902</v>
      </c>
      <c r="B614" t="s">
        <v>1902</v>
      </c>
      <c r="C614" t="s">
        <v>1997</v>
      </c>
      <c r="D614" t="s">
        <v>1187</v>
      </c>
      <c r="E614" t="s">
        <v>1998</v>
      </c>
      <c r="F614" t="s">
        <v>1982</v>
      </c>
      <c r="G614" t="s">
        <v>115</v>
      </c>
      <c r="H614" t="s">
        <v>2004</v>
      </c>
      <c r="I614" t="s">
        <v>2005</v>
      </c>
      <c r="J614" t="s">
        <v>28</v>
      </c>
      <c r="L614" t="s">
        <v>623</v>
      </c>
      <c r="M614" s="6" t="s">
        <v>373</v>
      </c>
      <c r="O614" t="s">
        <v>2001</v>
      </c>
    </row>
    <row r="615" spans="1:15" x14ac:dyDescent="0.25">
      <c r="A615" t="s">
        <v>1902</v>
      </c>
      <c r="B615" t="s">
        <v>1902</v>
      </c>
      <c r="C615" t="s">
        <v>1997</v>
      </c>
      <c r="D615" t="s">
        <v>1187</v>
      </c>
      <c r="E615" t="s">
        <v>1998</v>
      </c>
      <c r="F615" t="s">
        <v>1982</v>
      </c>
      <c r="G615" t="s">
        <v>115</v>
      </c>
      <c r="H615" t="s">
        <v>2006</v>
      </c>
      <c r="I615" t="s">
        <v>2007</v>
      </c>
      <c r="J615" t="s">
        <v>28</v>
      </c>
      <c r="L615" t="s">
        <v>623</v>
      </c>
      <c r="M615" s="6" t="s">
        <v>373</v>
      </c>
      <c r="O615" t="s">
        <v>2001</v>
      </c>
    </row>
    <row r="616" spans="1:15" x14ac:dyDescent="0.25">
      <c r="A616" t="s">
        <v>1902</v>
      </c>
      <c r="B616" t="s">
        <v>1902</v>
      </c>
      <c r="C616" t="s">
        <v>1997</v>
      </c>
      <c r="D616" t="s">
        <v>1187</v>
      </c>
      <c r="E616" t="s">
        <v>1998</v>
      </c>
      <c r="F616" t="s">
        <v>1982</v>
      </c>
      <c r="G616" t="s">
        <v>115</v>
      </c>
      <c r="H616" t="s">
        <v>2008</v>
      </c>
      <c r="I616" t="s">
        <v>2009</v>
      </c>
      <c r="J616" t="s">
        <v>28</v>
      </c>
      <c r="L616" t="s">
        <v>623</v>
      </c>
      <c r="M616" s="6" t="s">
        <v>373</v>
      </c>
      <c r="O616" t="s">
        <v>2001</v>
      </c>
    </row>
    <row r="617" spans="1:15" x14ac:dyDescent="0.25">
      <c r="A617" t="s">
        <v>1902</v>
      </c>
      <c r="B617" t="s">
        <v>1902</v>
      </c>
      <c r="C617" t="s">
        <v>2010</v>
      </c>
      <c r="D617" t="s">
        <v>1187</v>
      </c>
      <c r="E617" t="s">
        <v>2011</v>
      </c>
      <c r="F617" t="s">
        <v>2012</v>
      </c>
      <c r="G617" t="s">
        <v>1950</v>
      </c>
      <c r="H617" t="s">
        <v>2013</v>
      </c>
      <c r="I617" t="s">
        <v>2014</v>
      </c>
      <c r="J617" t="s">
        <v>28</v>
      </c>
      <c r="L617" t="s">
        <v>52</v>
      </c>
      <c r="M617" s="3" t="s">
        <v>52</v>
      </c>
      <c r="O617" t="s">
        <v>2015</v>
      </c>
    </row>
    <row r="618" spans="1:15" x14ac:dyDescent="0.25">
      <c r="A618" t="s">
        <v>1902</v>
      </c>
      <c r="B618" t="s">
        <v>1902</v>
      </c>
      <c r="C618" t="s">
        <v>2010</v>
      </c>
      <c r="D618" t="s">
        <v>1187</v>
      </c>
      <c r="E618" t="s">
        <v>2011</v>
      </c>
      <c r="F618" t="s">
        <v>2012</v>
      </c>
      <c r="G618" t="s">
        <v>1950</v>
      </c>
      <c r="H618" t="s">
        <v>2016</v>
      </c>
      <c r="I618" t="s">
        <v>2017</v>
      </c>
      <c r="J618" t="s">
        <v>28</v>
      </c>
      <c r="L618" t="s">
        <v>52</v>
      </c>
      <c r="M618" s="3" t="s">
        <v>52</v>
      </c>
      <c r="O618" t="s">
        <v>2015</v>
      </c>
    </row>
    <row r="619" spans="1:15" x14ac:dyDescent="0.25">
      <c r="A619" t="s">
        <v>1902</v>
      </c>
      <c r="B619" t="s">
        <v>1902</v>
      </c>
      <c r="C619" t="s">
        <v>2010</v>
      </c>
      <c r="D619" t="s">
        <v>1187</v>
      </c>
      <c r="E619" t="s">
        <v>2011</v>
      </c>
      <c r="F619" t="s">
        <v>2012</v>
      </c>
      <c r="G619" t="s">
        <v>1950</v>
      </c>
      <c r="H619" t="s">
        <v>2018</v>
      </c>
      <c r="I619" t="s">
        <v>2019</v>
      </c>
      <c r="J619" t="s">
        <v>28</v>
      </c>
      <c r="L619" t="s">
        <v>52</v>
      </c>
      <c r="M619" s="3" t="s">
        <v>52</v>
      </c>
      <c r="O619" t="s">
        <v>2015</v>
      </c>
    </row>
    <row r="620" spans="1:15" x14ac:dyDescent="0.25">
      <c r="A620" t="s">
        <v>1902</v>
      </c>
      <c r="B620" t="s">
        <v>1902</v>
      </c>
      <c r="C620" t="s">
        <v>2010</v>
      </c>
      <c r="D620" t="s">
        <v>1187</v>
      </c>
      <c r="E620" t="s">
        <v>2011</v>
      </c>
      <c r="F620" t="s">
        <v>2012</v>
      </c>
      <c r="G620" t="s">
        <v>1950</v>
      </c>
      <c r="H620" t="s">
        <v>2020</v>
      </c>
      <c r="I620" t="s">
        <v>2021</v>
      </c>
      <c r="J620" t="s">
        <v>28</v>
      </c>
      <c r="L620" t="s">
        <v>52</v>
      </c>
      <c r="M620" s="3" t="s">
        <v>52</v>
      </c>
      <c r="O620" t="s">
        <v>2015</v>
      </c>
    </row>
    <row r="621" spans="1:15" x14ac:dyDescent="0.25">
      <c r="A621" t="s">
        <v>1902</v>
      </c>
      <c r="B621" t="s">
        <v>1902</v>
      </c>
      <c r="C621" t="s">
        <v>2010</v>
      </c>
      <c r="D621" t="s">
        <v>1187</v>
      </c>
      <c r="E621" t="s">
        <v>2011</v>
      </c>
      <c r="F621" t="s">
        <v>2012</v>
      </c>
      <c r="G621" t="s">
        <v>1950</v>
      </c>
      <c r="H621" t="s">
        <v>2022</v>
      </c>
      <c r="I621" t="s">
        <v>2023</v>
      </c>
      <c r="J621" t="s">
        <v>28</v>
      </c>
      <c r="L621" t="s">
        <v>52</v>
      </c>
      <c r="M621" s="3" t="s">
        <v>52</v>
      </c>
      <c r="O621" t="s">
        <v>2015</v>
      </c>
    </row>
    <row r="622" spans="1:15" x14ac:dyDescent="0.25">
      <c r="A622" t="s">
        <v>1902</v>
      </c>
      <c r="B622" t="s">
        <v>1902</v>
      </c>
      <c r="C622" t="s">
        <v>2024</v>
      </c>
      <c r="D622" t="s">
        <v>1187</v>
      </c>
      <c r="E622" t="s">
        <v>2025</v>
      </c>
      <c r="F622" t="s">
        <v>19</v>
      </c>
      <c r="G622" t="s">
        <v>756</v>
      </c>
      <c r="H622" t="s">
        <v>2026</v>
      </c>
      <c r="I622" t="s">
        <v>2027</v>
      </c>
      <c r="J622" t="s">
        <v>28</v>
      </c>
      <c r="K622" t="s">
        <v>118</v>
      </c>
      <c r="L622" t="s">
        <v>30</v>
      </c>
      <c r="M622" s="2" t="s">
        <v>30</v>
      </c>
      <c r="O622" t="s">
        <v>2028</v>
      </c>
    </row>
    <row r="623" spans="1:15" x14ac:dyDescent="0.25">
      <c r="A623" t="s">
        <v>1902</v>
      </c>
      <c r="B623" t="s">
        <v>1902</v>
      </c>
      <c r="C623" t="s">
        <v>2024</v>
      </c>
      <c r="D623" t="s">
        <v>1187</v>
      </c>
      <c r="E623" t="s">
        <v>2025</v>
      </c>
      <c r="F623" t="s">
        <v>19</v>
      </c>
      <c r="G623" t="s">
        <v>756</v>
      </c>
      <c r="H623" t="s">
        <v>2029</v>
      </c>
      <c r="I623" t="s">
        <v>2030</v>
      </c>
      <c r="J623" t="s">
        <v>28</v>
      </c>
      <c r="K623" t="s">
        <v>118</v>
      </c>
      <c r="L623" t="s">
        <v>30</v>
      </c>
      <c r="M623" s="2" t="s">
        <v>30</v>
      </c>
      <c r="O623" t="s">
        <v>2028</v>
      </c>
    </row>
    <row r="624" spans="1:15" x14ac:dyDescent="0.25">
      <c r="A624" t="s">
        <v>1902</v>
      </c>
      <c r="B624" t="s">
        <v>1902</v>
      </c>
      <c r="C624" t="s">
        <v>2024</v>
      </c>
      <c r="D624" t="s">
        <v>1187</v>
      </c>
      <c r="E624" t="s">
        <v>2025</v>
      </c>
      <c r="F624" t="s">
        <v>19</v>
      </c>
      <c r="G624" t="s">
        <v>756</v>
      </c>
      <c r="H624" t="s">
        <v>2031</v>
      </c>
      <c r="I624" t="s">
        <v>2032</v>
      </c>
      <c r="J624" t="s">
        <v>28</v>
      </c>
      <c r="K624" t="s">
        <v>118</v>
      </c>
      <c r="L624" t="s">
        <v>30</v>
      </c>
      <c r="M624" s="2" t="s">
        <v>30</v>
      </c>
      <c r="O624" t="s">
        <v>2028</v>
      </c>
    </row>
    <row r="625" spans="1:15" x14ac:dyDescent="0.25">
      <c r="A625" t="s">
        <v>1902</v>
      </c>
      <c r="B625" t="s">
        <v>1902</v>
      </c>
      <c r="C625" t="s">
        <v>2024</v>
      </c>
      <c r="D625" t="s">
        <v>1187</v>
      </c>
      <c r="E625" t="s">
        <v>2025</v>
      </c>
      <c r="F625" t="s">
        <v>19</v>
      </c>
      <c r="G625" t="s">
        <v>756</v>
      </c>
      <c r="H625" t="s">
        <v>2033</v>
      </c>
      <c r="I625" t="s">
        <v>2034</v>
      </c>
      <c r="J625" t="s">
        <v>28</v>
      </c>
      <c r="K625" t="s">
        <v>118</v>
      </c>
      <c r="L625" t="s">
        <v>30</v>
      </c>
      <c r="M625" s="2" t="s">
        <v>30</v>
      </c>
      <c r="O625" t="s">
        <v>2028</v>
      </c>
    </row>
    <row r="626" spans="1:15" x14ac:dyDescent="0.25">
      <c r="A626" t="s">
        <v>1902</v>
      </c>
      <c r="B626" t="s">
        <v>1902</v>
      </c>
      <c r="C626" t="s">
        <v>2024</v>
      </c>
      <c r="D626" t="s">
        <v>1187</v>
      </c>
      <c r="E626" t="s">
        <v>2025</v>
      </c>
      <c r="F626" t="s">
        <v>19</v>
      </c>
      <c r="G626" t="s">
        <v>756</v>
      </c>
      <c r="H626" t="s">
        <v>2035</v>
      </c>
      <c r="I626" t="s">
        <v>2036</v>
      </c>
      <c r="J626" t="s">
        <v>28</v>
      </c>
      <c r="K626" t="s">
        <v>118</v>
      </c>
      <c r="L626" t="s">
        <v>30</v>
      </c>
      <c r="M626" s="2" t="s">
        <v>30</v>
      </c>
      <c r="O626" t="s">
        <v>2028</v>
      </c>
    </row>
    <row r="627" spans="1:15" x14ac:dyDescent="0.25">
      <c r="A627" t="s">
        <v>1902</v>
      </c>
      <c r="B627" t="s">
        <v>1902</v>
      </c>
      <c r="C627" t="s">
        <v>2024</v>
      </c>
      <c r="D627" t="s">
        <v>1187</v>
      </c>
      <c r="E627" t="s">
        <v>2025</v>
      </c>
      <c r="F627" t="s">
        <v>19</v>
      </c>
      <c r="G627" t="s">
        <v>756</v>
      </c>
      <c r="H627" t="s">
        <v>2037</v>
      </c>
      <c r="I627" t="s">
        <v>2038</v>
      </c>
      <c r="J627" t="s">
        <v>28</v>
      </c>
      <c r="K627" t="s">
        <v>118</v>
      </c>
      <c r="L627" t="s">
        <v>30</v>
      </c>
      <c r="M627" s="2" t="s">
        <v>30</v>
      </c>
      <c r="O627" t="s">
        <v>2028</v>
      </c>
    </row>
    <row r="628" spans="1:15" x14ac:dyDescent="0.25">
      <c r="A628" t="s">
        <v>1902</v>
      </c>
      <c r="B628" t="s">
        <v>1902</v>
      </c>
      <c r="C628" t="s">
        <v>2039</v>
      </c>
      <c r="D628" t="s">
        <v>1187</v>
      </c>
      <c r="E628" t="s">
        <v>2040</v>
      </c>
      <c r="F628" t="s">
        <v>601</v>
      </c>
      <c r="G628" t="s">
        <v>756</v>
      </c>
      <c r="H628" t="s">
        <v>2041</v>
      </c>
      <c r="I628" t="s">
        <v>2042</v>
      </c>
      <c r="J628" t="s">
        <v>28</v>
      </c>
      <c r="K628" t="s">
        <v>118</v>
      </c>
      <c r="L628" t="s">
        <v>30</v>
      </c>
      <c r="M628" s="2" t="s">
        <v>30</v>
      </c>
      <c r="O628" t="s">
        <v>2028</v>
      </c>
    </row>
    <row r="629" spans="1:15" x14ac:dyDescent="0.25">
      <c r="A629" t="s">
        <v>1902</v>
      </c>
      <c r="B629" t="s">
        <v>1902</v>
      </c>
      <c r="C629" t="s">
        <v>2039</v>
      </c>
      <c r="D629" t="s">
        <v>1187</v>
      </c>
      <c r="E629" t="s">
        <v>2040</v>
      </c>
      <c r="F629" t="s">
        <v>601</v>
      </c>
      <c r="G629" t="s">
        <v>756</v>
      </c>
      <c r="H629" t="s">
        <v>2043</v>
      </c>
      <c r="I629" t="s">
        <v>2044</v>
      </c>
      <c r="J629" t="s">
        <v>28</v>
      </c>
      <c r="K629" t="s">
        <v>118</v>
      </c>
      <c r="L629" t="s">
        <v>186</v>
      </c>
      <c r="M629" s="5" t="s">
        <v>187</v>
      </c>
      <c r="N629" s="88" t="s">
        <v>187</v>
      </c>
      <c r="O629" t="s">
        <v>2028</v>
      </c>
    </row>
    <row r="630" spans="1:15" x14ac:dyDescent="0.25">
      <c r="A630" t="s">
        <v>1902</v>
      </c>
      <c r="B630" t="s">
        <v>1902</v>
      </c>
      <c r="C630" t="s">
        <v>2039</v>
      </c>
      <c r="D630" t="s">
        <v>1187</v>
      </c>
      <c r="E630" t="s">
        <v>2040</v>
      </c>
      <c r="F630" t="s">
        <v>601</v>
      </c>
      <c r="G630" t="s">
        <v>756</v>
      </c>
      <c r="H630" t="s">
        <v>2045</v>
      </c>
      <c r="I630" t="s">
        <v>2046</v>
      </c>
      <c r="J630" t="s">
        <v>28</v>
      </c>
      <c r="K630" t="s">
        <v>118</v>
      </c>
      <c r="L630" t="s">
        <v>186</v>
      </c>
      <c r="M630" s="5" t="s">
        <v>187</v>
      </c>
      <c r="N630" s="88" t="s">
        <v>187</v>
      </c>
      <c r="O630" t="s">
        <v>2028</v>
      </c>
    </row>
    <row r="631" spans="1:15" x14ac:dyDescent="0.25">
      <c r="A631" t="s">
        <v>1902</v>
      </c>
      <c r="B631" t="s">
        <v>1902</v>
      </c>
      <c r="C631" t="s">
        <v>2039</v>
      </c>
      <c r="D631" t="s">
        <v>1187</v>
      </c>
      <c r="E631" t="s">
        <v>2040</v>
      </c>
      <c r="F631" t="s">
        <v>601</v>
      </c>
      <c r="G631" t="s">
        <v>756</v>
      </c>
      <c r="H631" t="s">
        <v>2047</v>
      </c>
      <c r="I631" t="s">
        <v>2048</v>
      </c>
      <c r="J631" t="s">
        <v>28</v>
      </c>
      <c r="K631" t="s">
        <v>118</v>
      </c>
      <c r="L631" t="s">
        <v>30</v>
      </c>
      <c r="M631" s="2" t="s">
        <v>30</v>
      </c>
      <c r="O631" t="s">
        <v>2028</v>
      </c>
    </row>
    <row r="632" spans="1:15" x14ac:dyDescent="0.25">
      <c r="A632" t="s">
        <v>1902</v>
      </c>
      <c r="B632" t="s">
        <v>1902</v>
      </c>
      <c r="C632" t="s">
        <v>2039</v>
      </c>
      <c r="D632" t="s">
        <v>1187</v>
      </c>
      <c r="E632" t="s">
        <v>2040</v>
      </c>
      <c r="F632" t="s">
        <v>601</v>
      </c>
      <c r="G632" t="s">
        <v>756</v>
      </c>
      <c r="H632" t="s">
        <v>2049</v>
      </c>
      <c r="I632" t="s">
        <v>2050</v>
      </c>
      <c r="J632" t="s">
        <v>28</v>
      </c>
      <c r="K632" t="s">
        <v>118</v>
      </c>
      <c r="L632" t="s">
        <v>30</v>
      </c>
      <c r="M632" s="2" t="s">
        <v>30</v>
      </c>
      <c r="O632" t="s">
        <v>2028</v>
      </c>
    </row>
    <row r="633" spans="1:15" x14ac:dyDescent="0.25">
      <c r="A633" t="s">
        <v>1902</v>
      </c>
      <c r="B633" t="s">
        <v>1902</v>
      </c>
      <c r="C633" t="s">
        <v>2051</v>
      </c>
      <c r="D633" t="s">
        <v>1187</v>
      </c>
      <c r="E633" t="s">
        <v>2052</v>
      </c>
      <c r="F633" t="s">
        <v>601</v>
      </c>
      <c r="G633" t="s">
        <v>756</v>
      </c>
      <c r="H633" t="s">
        <v>2053</v>
      </c>
      <c r="I633" t="s">
        <v>2054</v>
      </c>
      <c r="J633" t="s">
        <v>28</v>
      </c>
      <c r="K633" t="s">
        <v>118</v>
      </c>
      <c r="L633" t="s">
        <v>186</v>
      </c>
      <c r="M633" s="5" t="s">
        <v>187</v>
      </c>
      <c r="N633" s="88" t="s">
        <v>187</v>
      </c>
      <c r="O633" t="s">
        <v>2028</v>
      </c>
    </row>
    <row r="634" spans="1:15" x14ac:dyDescent="0.25">
      <c r="A634" t="s">
        <v>1902</v>
      </c>
      <c r="B634" t="s">
        <v>1902</v>
      </c>
      <c r="C634" t="s">
        <v>2051</v>
      </c>
      <c r="D634" t="s">
        <v>1187</v>
      </c>
      <c r="E634" t="s">
        <v>2052</v>
      </c>
      <c r="F634" t="s">
        <v>601</v>
      </c>
      <c r="G634" t="s">
        <v>756</v>
      </c>
      <c r="H634" t="s">
        <v>2055</v>
      </c>
      <c r="I634" t="s">
        <v>2056</v>
      </c>
      <c r="J634" t="s">
        <v>28</v>
      </c>
      <c r="K634" t="s">
        <v>118</v>
      </c>
      <c r="L634" t="s">
        <v>186</v>
      </c>
      <c r="M634" s="5" t="s">
        <v>187</v>
      </c>
      <c r="N634" s="88" t="s">
        <v>187</v>
      </c>
      <c r="O634" t="s">
        <v>2028</v>
      </c>
    </row>
    <row r="635" spans="1:15" x14ac:dyDescent="0.25">
      <c r="A635" t="s">
        <v>1902</v>
      </c>
      <c r="B635" t="s">
        <v>1902</v>
      </c>
      <c r="C635" t="s">
        <v>2051</v>
      </c>
      <c r="D635" t="s">
        <v>1187</v>
      </c>
      <c r="E635" t="s">
        <v>2052</v>
      </c>
      <c r="F635" t="s">
        <v>601</v>
      </c>
      <c r="G635" t="s">
        <v>756</v>
      </c>
      <c r="H635" t="s">
        <v>2057</v>
      </c>
      <c r="I635" t="s">
        <v>2058</v>
      </c>
      <c r="J635" t="s">
        <v>28</v>
      </c>
      <c r="K635" t="s">
        <v>118</v>
      </c>
      <c r="L635" t="s">
        <v>30</v>
      </c>
      <c r="M635" s="2" t="s">
        <v>30</v>
      </c>
      <c r="O635" t="s">
        <v>2028</v>
      </c>
    </row>
    <row r="636" spans="1:15" x14ac:dyDescent="0.25">
      <c r="A636" t="s">
        <v>1902</v>
      </c>
      <c r="B636" t="s">
        <v>1902</v>
      </c>
      <c r="C636" t="s">
        <v>2051</v>
      </c>
      <c r="D636" t="s">
        <v>1187</v>
      </c>
      <c r="E636" t="s">
        <v>2052</v>
      </c>
      <c r="F636" t="s">
        <v>601</v>
      </c>
      <c r="G636" t="s">
        <v>756</v>
      </c>
      <c r="H636" t="s">
        <v>2059</v>
      </c>
      <c r="I636" t="s">
        <v>2060</v>
      </c>
      <c r="J636" t="s">
        <v>28</v>
      </c>
      <c r="K636" t="s">
        <v>118</v>
      </c>
      <c r="L636" t="s">
        <v>30</v>
      </c>
      <c r="M636" s="2" t="s">
        <v>30</v>
      </c>
      <c r="O636" t="s">
        <v>2028</v>
      </c>
    </row>
    <row r="637" spans="1:15" x14ac:dyDescent="0.25">
      <c r="A637" t="s">
        <v>1902</v>
      </c>
      <c r="B637" t="s">
        <v>1902</v>
      </c>
      <c r="C637" t="s">
        <v>2061</v>
      </c>
      <c r="D637" t="s">
        <v>1187</v>
      </c>
      <c r="E637" t="s">
        <v>2062</v>
      </c>
      <c r="F637" t="s">
        <v>2063</v>
      </c>
      <c r="G637" t="s">
        <v>756</v>
      </c>
      <c r="H637" t="s">
        <v>2064</v>
      </c>
      <c r="I637" t="s">
        <v>2065</v>
      </c>
      <c r="J637" t="s">
        <v>28</v>
      </c>
      <c r="K637" t="s">
        <v>118</v>
      </c>
      <c r="L637" t="s">
        <v>30</v>
      </c>
      <c r="M637" s="2" t="s">
        <v>30</v>
      </c>
      <c r="O637" t="s">
        <v>2028</v>
      </c>
    </row>
    <row r="638" spans="1:15" x14ac:dyDescent="0.25">
      <c r="A638" t="s">
        <v>1902</v>
      </c>
      <c r="B638" t="s">
        <v>1902</v>
      </c>
      <c r="C638" t="s">
        <v>2061</v>
      </c>
      <c r="D638" t="s">
        <v>1187</v>
      </c>
      <c r="E638" t="s">
        <v>2062</v>
      </c>
      <c r="F638" t="s">
        <v>2063</v>
      </c>
      <c r="G638" t="s">
        <v>756</v>
      </c>
      <c r="H638" t="s">
        <v>2066</v>
      </c>
      <c r="I638" t="s">
        <v>2067</v>
      </c>
      <c r="J638" t="s">
        <v>28</v>
      </c>
      <c r="K638" t="s">
        <v>118</v>
      </c>
      <c r="L638" t="s">
        <v>30</v>
      </c>
      <c r="M638" s="2" t="s">
        <v>30</v>
      </c>
      <c r="O638" t="s">
        <v>2028</v>
      </c>
    </row>
    <row r="639" spans="1:15" x14ac:dyDescent="0.25">
      <c r="A639" t="s">
        <v>1902</v>
      </c>
      <c r="B639" t="s">
        <v>1902</v>
      </c>
      <c r="C639" t="s">
        <v>2061</v>
      </c>
      <c r="D639" t="s">
        <v>1187</v>
      </c>
      <c r="E639" t="s">
        <v>2062</v>
      </c>
      <c r="F639" t="s">
        <v>2063</v>
      </c>
      <c r="G639" t="s">
        <v>756</v>
      </c>
      <c r="H639" t="s">
        <v>2068</v>
      </c>
      <c r="I639" t="s">
        <v>2069</v>
      </c>
      <c r="J639" t="s">
        <v>28</v>
      </c>
      <c r="K639" t="s">
        <v>118</v>
      </c>
      <c r="L639" t="s">
        <v>30</v>
      </c>
      <c r="M639" s="2" t="s">
        <v>30</v>
      </c>
      <c r="O639" t="s">
        <v>2028</v>
      </c>
    </row>
    <row r="640" spans="1:15" x14ac:dyDescent="0.25">
      <c r="A640" t="s">
        <v>1902</v>
      </c>
      <c r="B640" t="s">
        <v>1902</v>
      </c>
      <c r="C640" t="s">
        <v>2061</v>
      </c>
      <c r="D640" t="s">
        <v>1187</v>
      </c>
      <c r="E640" t="s">
        <v>2062</v>
      </c>
      <c r="F640" t="s">
        <v>2063</v>
      </c>
      <c r="G640" t="s">
        <v>756</v>
      </c>
      <c r="H640" t="s">
        <v>2070</v>
      </c>
      <c r="I640" t="s">
        <v>2058</v>
      </c>
      <c r="J640" t="s">
        <v>28</v>
      </c>
      <c r="K640" t="s">
        <v>118</v>
      </c>
      <c r="L640" t="s">
        <v>30</v>
      </c>
      <c r="M640" s="2" t="s">
        <v>30</v>
      </c>
      <c r="O640" t="s">
        <v>2028</v>
      </c>
    </row>
    <row r="641" spans="1:15" x14ac:dyDescent="0.25">
      <c r="A641" t="s">
        <v>1902</v>
      </c>
      <c r="B641" t="s">
        <v>1902</v>
      </c>
      <c r="C641" t="s">
        <v>2061</v>
      </c>
      <c r="D641" t="s">
        <v>1187</v>
      </c>
      <c r="E641" t="s">
        <v>2062</v>
      </c>
      <c r="F641" t="s">
        <v>2063</v>
      </c>
      <c r="G641" t="s">
        <v>756</v>
      </c>
      <c r="H641" t="s">
        <v>2071</v>
      </c>
      <c r="I641" t="s">
        <v>2072</v>
      </c>
      <c r="J641" t="s">
        <v>28</v>
      </c>
      <c r="K641" t="s">
        <v>118</v>
      </c>
      <c r="L641" t="s">
        <v>30</v>
      </c>
      <c r="M641" s="2" t="s">
        <v>30</v>
      </c>
      <c r="O641" t="s">
        <v>2028</v>
      </c>
    </row>
    <row r="642" spans="1:15" x14ac:dyDescent="0.25">
      <c r="A642" t="s">
        <v>1902</v>
      </c>
      <c r="B642" t="s">
        <v>1902</v>
      </c>
      <c r="C642" t="s">
        <v>2073</v>
      </c>
      <c r="D642" t="s">
        <v>1187</v>
      </c>
      <c r="E642" t="s">
        <v>2074</v>
      </c>
      <c r="F642" t="s">
        <v>601</v>
      </c>
      <c r="G642" t="s">
        <v>756</v>
      </c>
      <c r="H642" t="s">
        <v>2075</v>
      </c>
      <c r="I642" t="s">
        <v>970</v>
      </c>
      <c r="J642" t="s">
        <v>28</v>
      </c>
      <c r="M642" s="3" t="s">
        <v>52</v>
      </c>
      <c r="O642" t="s">
        <v>1952</v>
      </c>
    </row>
    <row r="643" spans="1:15" x14ac:dyDescent="0.25">
      <c r="A643" t="s">
        <v>1902</v>
      </c>
      <c r="B643" t="s">
        <v>1902</v>
      </c>
      <c r="C643" t="s">
        <v>2076</v>
      </c>
      <c r="D643" t="s">
        <v>1091</v>
      </c>
      <c r="E643" t="s">
        <v>2077</v>
      </c>
      <c r="F643" t="s">
        <v>2012</v>
      </c>
      <c r="G643" t="s">
        <v>1950</v>
      </c>
      <c r="H643" t="s">
        <v>2078</v>
      </c>
      <c r="I643" t="s">
        <v>970</v>
      </c>
      <c r="J643" t="s">
        <v>28</v>
      </c>
      <c r="M643" s="3" t="s">
        <v>52</v>
      </c>
      <c r="O643" t="s">
        <v>1952</v>
      </c>
    </row>
    <row r="644" spans="1:15" x14ac:dyDescent="0.25">
      <c r="A644" t="s">
        <v>1902</v>
      </c>
      <c r="B644" t="s">
        <v>1902</v>
      </c>
      <c r="C644" t="s">
        <v>2079</v>
      </c>
      <c r="D644" t="s">
        <v>1101</v>
      </c>
      <c r="E644" t="s">
        <v>2080</v>
      </c>
      <c r="F644" t="s">
        <v>2012</v>
      </c>
      <c r="G644" t="s">
        <v>115</v>
      </c>
      <c r="H644" t="s">
        <v>2081</v>
      </c>
      <c r="I644" t="s">
        <v>2082</v>
      </c>
      <c r="J644" t="s">
        <v>28</v>
      </c>
      <c r="L644" t="s">
        <v>623</v>
      </c>
      <c r="M644" s="6" t="s">
        <v>373</v>
      </c>
    </row>
    <row r="645" spans="1:15" x14ac:dyDescent="0.25">
      <c r="A645" t="s">
        <v>1902</v>
      </c>
      <c r="B645" t="s">
        <v>1902</v>
      </c>
      <c r="C645" t="s">
        <v>2079</v>
      </c>
      <c r="D645" t="s">
        <v>1101</v>
      </c>
      <c r="E645" t="s">
        <v>2080</v>
      </c>
      <c r="F645" t="s">
        <v>2012</v>
      </c>
      <c r="G645" t="s">
        <v>115</v>
      </c>
      <c r="H645" t="s">
        <v>2083</v>
      </c>
      <c r="I645" t="s">
        <v>2084</v>
      </c>
      <c r="J645" t="s">
        <v>28</v>
      </c>
      <c r="L645" t="s">
        <v>623</v>
      </c>
      <c r="M645" s="6" t="s">
        <v>373</v>
      </c>
    </row>
    <row r="646" spans="1:15" x14ac:dyDescent="0.25">
      <c r="A646" t="s">
        <v>1902</v>
      </c>
      <c r="B646" t="s">
        <v>1902</v>
      </c>
      <c r="C646" t="s">
        <v>2079</v>
      </c>
      <c r="D646" t="s">
        <v>1101</v>
      </c>
      <c r="E646" t="s">
        <v>2080</v>
      </c>
      <c r="F646" t="s">
        <v>2012</v>
      </c>
      <c r="G646" t="s">
        <v>115</v>
      </c>
      <c r="H646" t="s">
        <v>2085</v>
      </c>
      <c r="I646" t="s">
        <v>2086</v>
      </c>
      <c r="J646" t="s">
        <v>28</v>
      </c>
      <c r="L646" t="s">
        <v>623</v>
      </c>
      <c r="M646" s="6" t="s">
        <v>373</v>
      </c>
    </row>
    <row r="647" spans="1:15" x14ac:dyDescent="0.25">
      <c r="A647" t="s">
        <v>1902</v>
      </c>
      <c r="B647" t="s">
        <v>1902</v>
      </c>
      <c r="C647" t="s">
        <v>2079</v>
      </c>
      <c r="D647" t="s">
        <v>1101</v>
      </c>
      <c r="E647" t="s">
        <v>2080</v>
      </c>
      <c r="F647" t="s">
        <v>2012</v>
      </c>
      <c r="G647" t="s">
        <v>115</v>
      </c>
      <c r="H647" t="s">
        <v>2087</v>
      </c>
      <c r="I647" t="s">
        <v>2088</v>
      </c>
      <c r="J647" t="s">
        <v>28</v>
      </c>
      <c r="L647" t="s">
        <v>623</v>
      </c>
      <c r="M647" s="6" t="s">
        <v>373</v>
      </c>
    </row>
    <row r="648" spans="1:15" x14ac:dyDescent="0.25">
      <c r="A648" t="s">
        <v>1902</v>
      </c>
      <c r="B648" t="s">
        <v>1902</v>
      </c>
      <c r="C648" t="s">
        <v>2089</v>
      </c>
      <c r="D648" t="s">
        <v>1187</v>
      </c>
      <c r="E648" t="s">
        <v>2090</v>
      </c>
      <c r="F648" t="s">
        <v>19</v>
      </c>
      <c r="G648" t="s">
        <v>1132</v>
      </c>
      <c r="H648" t="s">
        <v>2091</v>
      </c>
      <c r="I648" t="s">
        <v>2092</v>
      </c>
      <c r="J648" t="s">
        <v>28</v>
      </c>
      <c r="M648" s="3" t="s">
        <v>52</v>
      </c>
    </row>
    <row r="649" spans="1:15" x14ac:dyDescent="0.25">
      <c r="A649" t="s">
        <v>1902</v>
      </c>
      <c r="B649" t="s">
        <v>1902</v>
      </c>
      <c r="C649" t="s">
        <v>2089</v>
      </c>
      <c r="D649" t="s">
        <v>1187</v>
      </c>
      <c r="E649" t="s">
        <v>2090</v>
      </c>
      <c r="F649" t="s">
        <v>19</v>
      </c>
      <c r="G649" t="s">
        <v>1132</v>
      </c>
      <c r="H649" t="s">
        <v>2093</v>
      </c>
      <c r="I649" t="s">
        <v>2094</v>
      </c>
      <c r="J649" t="s">
        <v>28</v>
      </c>
      <c r="M649" s="3" t="s">
        <v>52</v>
      </c>
    </row>
    <row r="650" spans="1:15" x14ac:dyDescent="0.25">
      <c r="A650" t="s">
        <v>1902</v>
      </c>
      <c r="B650" t="s">
        <v>1902</v>
      </c>
      <c r="C650" t="s">
        <v>2089</v>
      </c>
      <c r="D650" t="s">
        <v>1187</v>
      </c>
      <c r="E650" t="s">
        <v>2090</v>
      </c>
      <c r="F650" t="s">
        <v>19</v>
      </c>
      <c r="G650" t="s">
        <v>1132</v>
      </c>
      <c r="H650" t="s">
        <v>2095</v>
      </c>
      <c r="I650" t="s">
        <v>2096</v>
      </c>
      <c r="J650" t="s">
        <v>28</v>
      </c>
      <c r="M650" s="3" t="s">
        <v>52</v>
      </c>
    </row>
    <row r="651" spans="1:15" x14ac:dyDescent="0.25">
      <c r="A651" t="s">
        <v>1902</v>
      </c>
      <c r="B651" t="s">
        <v>1902</v>
      </c>
      <c r="C651" t="s">
        <v>2089</v>
      </c>
      <c r="D651" t="s">
        <v>1187</v>
      </c>
      <c r="E651" t="s">
        <v>2090</v>
      </c>
      <c r="F651" t="s">
        <v>19</v>
      </c>
      <c r="G651" t="s">
        <v>1132</v>
      </c>
      <c r="H651" t="s">
        <v>2097</v>
      </c>
      <c r="I651" t="s">
        <v>2098</v>
      </c>
      <c r="J651" t="s">
        <v>28</v>
      </c>
      <c r="M651" s="3" t="s">
        <v>52</v>
      </c>
    </row>
    <row r="652" spans="1:15" x14ac:dyDescent="0.25">
      <c r="A652" t="s">
        <v>1902</v>
      </c>
      <c r="B652" t="s">
        <v>1902</v>
      </c>
      <c r="C652" t="s">
        <v>2099</v>
      </c>
      <c r="D652" t="s">
        <v>1187</v>
      </c>
      <c r="E652" t="s">
        <v>2100</v>
      </c>
      <c r="F652" t="s">
        <v>601</v>
      </c>
      <c r="G652" t="s">
        <v>1132</v>
      </c>
      <c r="H652" t="s">
        <v>2101</v>
      </c>
      <c r="I652" t="s">
        <v>2102</v>
      </c>
      <c r="J652" t="s">
        <v>28</v>
      </c>
      <c r="L652" t="s">
        <v>623</v>
      </c>
      <c r="M652" s="6" t="s">
        <v>373</v>
      </c>
    </row>
    <row r="653" spans="1:15" x14ac:dyDescent="0.25">
      <c r="A653" t="s">
        <v>1902</v>
      </c>
      <c r="B653" t="s">
        <v>1902</v>
      </c>
      <c r="C653" t="s">
        <v>2099</v>
      </c>
      <c r="D653" t="s">
        <v>1187</v>
      </c>
      <c r="E653" t="s">
        <v>2100</v>
      </c>
      <c r="F653" t="s">
        <v>601</v>
      </c>
      <c r="G653" t="s">
        <v>1132</v>
      </c>
      <c r="H653" t="s">
        <v>2103</v>
      </c>
      <c r="I653" t="s">
        <v>2104</v>
      </c>
      <c r="J653" t="s">
        <v>28</v>
      </c>
      <c r="L653" t="s">
        <v>623</v>
      </c>
      <c r="M653" s="6" t="s">
        <v>373</v>
      </c>
    </row>
    <row r="654" spans="1:15" x14ac:dyDescent="0.25">
      <c r="A654" t="s">
        <v>1902</v>
      </c>
      <c r="B654" t="s">
        <v>1902</v>
      </c>
      <c r="C654" t="s">
        <v>2099</v>
      </c>
      <c r="D654" t="s">
        <v>1187</v>
      </c>
      <c r="E654" t="s">
        <v>2100</v>
      </c>
      <c r="F654" t="s">
        <v>601</v>
      </c>
      <c r="G654" t="s">
        <v>1132</v>
      </c>
      <c r="H654" t="s">
        <v>2105</v>
      </c>
      <c r="I654" t="s">
        <v>2106</v>
      </c>
      <c r="J654" t="s">
        <v>28</v>
      </c>
      <c r="L654" t="s">
        <v>623</v>
      </c>
      <c r="M654" s="6" t="s">
        <v>373</v>
      </c>
    </row>
    <row r="655" spans="1:15" x14ac:dyDescent="0.25">
      <c r="A655" t="s">
        <v>1902</v>
      </c>
      <c r="B655" t="s">
        <v>1902</v>
      </c>
      <c r="C655" t="s">
        <v>2099</v>
      </c>
      <c r="D655" t="s">
        <v>1187</v>
      </c>
      <c r="E655" t="s">
        <v>2100</v>
      </c>
      <c r="F655" t="s">
        <v>601</v>
      </c>
      <c r="G655" t="s">
        <v>1132</v>
      </c>
      <c r="H655" t="s">
        <v>2107</v>
      </c>
      <c r="I655" t="s">
        <v>2108</v>
      </c>
      <c r="J655" t="s">
        <v>28</v>
      </c>
      <c r="L655" t="s">
        <v>623</v>
      </c>
      <c r="M655" s="6" t="s">
        <v>373</v>
      </c>
    </row>
    <row r="656" spans="1:15" x14ac:dyDescent="0.25">
      <c r="A656" t="s">
        <v>1902</v>
      </c>
      <c r="B656" t="s">
        <v>1902</v>
      </c>
      <c r="C656" t="s">
        <v>2109</v>
      </c>
      <c r="D656" t="s">
        <v>1101</v>
      </c>
      <c r="E656" t="s">
        <v>2110</v>
      </c>
      <c r="F656" t="s">
        <v>2012</v>
      </c>
      <c r="G656" t="s">
        <v>115</v>
      </c>
      <c r="H656" t="s">
        <v>2111</v>
      </c>
      <c r="I656" t="s">
        <v>2112</v>
      </c>
      <c r="J656" t="s">
        <v>28</v>
      </c>
      <c r="L656" t="s">
        <v>52</v>
      </c>
      <c r="M656" s="3" t="s">
        <v>52</v>
      </c>
      <c r="O656" t="s">
        <v>970</v>
      </c>
    </row>
    <row r="657" spans="1:15" x14ac:dyDescent="0.25">
      <c r="A657" t="s">
        <v>1902</v>
      </c>
      <c r="B657" t="s">
        <v>1902</v>
      </c>
      <c r="C657" t="s">
        <v>2109</v>
      </c>
      <c r="D657" t="s">
        <v>1101</v>
      </c>
      <c r="E657" t="s">
        <v>2110</v>
      </c>
      <c r="F657" t="s">
        <v>2012</v>
      </c>
      <c r="G657" t="s">
        <v>115</v>
      </c>
      <c r="H657" t="s">
        <v>2113</v>
      </c>
      <c r="I657" t="s">
        <v>2114</v>
      </c>
      <c r="J657" t="s">
        <v>28</v>
      </c>
      <c r="L657" t="s">
        <v>52</v>
      </c>
      <c r="M657" s="3" t="s">
        <v>52</v>
      </c>
      <c r="O657" t="s">
        <v>970</v>
      </c>
    </row>
    <row r="658" spans="1:15" x14ac:dyDescent="0.25">
      <c r="A658" t="s">
        <v>1902</v>
      </c>
      <c r="B658" t="s">
        <v>1902</v>
      </c>
      <c r="C658" t="s">
        <v>2109</v>
      </c>
      <c r="D658" t="s">
        <v>1101</v>
      </c>
      <c r="E658" t="s">
        <v>2110</v>
      </c>
      <c r="F658" t="s">
        <v>2012</v>
      </c>
      <c r="G658" t="s">
        <v>115</v>
      </c>
      <c r="H658" t="s">
        <v>2115</v>
      </c>
      <c r="I658" t="s">
        <v>2116</v>
      </c>
      <c r="J658" t="s">
        <v>28</v>
      </c>
      <c r="L658" t="s">
        <v>52</v>
      </c>
      <c r="M658" s="3" t="s">
        <v>52</v>
      </c>
      <c r="O658" t="s">
        <v>970</v>
      </c>
    </row>
    <row r="659" spans="1:15" x14ac:dyDescent="0.25">
      <c r="A659" t="s">
        <v>1902</v>
      </c>
      <c r="B659" t="s">
        <v>1902</v>
      </c>
      <c r="C659" t="s">
        <v>2109</v>
      </c>
      <c r="D659" t="s">
        <v>1101</v>
      </c>
      <c r="E659" t="s">
        <v>2110</v>
      </c>
      <c r="F659" t="s">
        <v>2012</v>
      </c>
      <c r="G659" t="s">
        <v>115</v>
      </c>
      <c r="H659" t="s">
        <v>2117</v>
      </c>
      <c r="I659" t="s">
        <v>2118</v>
      </c>
      <c r="J659" t="s">
        <v>28</v>
      </c>
      <c r="L659" t="s">
        <v>52</v>
      </c>
      <c r="M659" s="3" t="s">
        <v>52</v>
      </c>
      <c r="O659" t="s">
        <v>970</v>
      </c>
    </row>
    <row r="660" spans="1:15" x14ac:dyDescent="0.25">
      <c r="A660" t="s">
        <v>1902</v>
      </c>
      <c r="B660" t="s">
        <v>1902</v>
      </c>
      <c r="C660" t="s">
        <v>2109</v>
      </c>
      <c r="D660" t="s">
        <v>1101</v>
      </c>
      <c r="E660" t="s">
        <v>2110</v>
      </c>
      <c r="F660" t="s">
        <v>2012</v>
      </c>
      <c r="G660" t="s">
        <v>115</v>
      </c>
      <c r="H660" t="s">
        <v>2119</v>
      </c>
      <c r="I660" t="s">
        <v>2120</v>
      </c>
      <c r="J660" t="s">
        <v>28</v>
      </c>
      <c r="L660" t="s">
        <v>52</v>
      </c>
      <c r="M660" s="3" t="s">
        <v>52</v>
      </c>
      <c r="O660" t="s">
        <v>970</v>
      </c>
    </row>
    <row r="661" spans="1:15" x14ac:dyDescent="0.25">
      <c r="A661" t="s">
        <v>1902</v>
      </c>
      <c r="B661" t="s">
        <v>1902</v>
      </c>
      <c r="C661" t="s">
        <v>2121</v>
      </c>
      <c r="D661" t="s">
        <v>1101</v>
      </c>
      <c r="E661" t="s">
        <v>2122</v>
      </c>
      <c r="F661" t="s">
        <v>2012</v>
      </c>
      <c r="G661" t="s">
        <v>1950</v>
      </c>
      <c r="H661" t="s">
        <v>2123</v>
      </c>
      <c r="I661" t="s">
        <v>2124</v>
      </c>
      <c r="J661" t="s">
        <v>28</v>
      </c>
      <c r="L661" t="s">
        <v>52</v>
      </c>
      <c r="M661" s="3" t="s">
        <v>52</v>
      </c>
      <c r="O661" t="s">
        <v>970</v>
      </c>
    </row>
    <row r="662" spans="1:15" x14ac:dyDescent="0.25">
      <c r="A662" t="s">
        <v>1902</v>
      </c>
      <c r="B662" t="s">
        <v>1902</v>
      </c>
      <c r="C662" t="s">
        <v>2121</v>
      </c>
      <c r="D662" t="s">
        <v>1101</v>
      </c>
      <c r="E662" t="s">
        <v>2122</v>
      </c>
      <c r="F662" t="s">
        <v>2012</v>
      </c>
      <c r="G662" t="s">
        <v>1950</v>
      </c>
      <c r="H662" t="s">
        <v>2125</v>
      </c>
      <c r="I662" t="s">
        <v>2126</v>
      </c>
      <c r="J662" t="s">
        <v>28</v>
      </c>
      <c r="L662" t="s">
        <v>52</v>
      </c>
      <c r="M662" s="3" t="s">
        <v>52</v>
      </c>
      <c r="O662" t="s">
        <v>970</v>
      </c>
    </row>
    <row r="663" spans="1:15" x14ac:dyDescent="0.25">
      <c r="A663" t="s">
        <v>1902</v>
      </c>
      <c r="B663" t="s">
        <v>1902</v>
      </c>
      <c r="C663" t="s">
        <v>2121</v>
      </c>
      <c r="D663" t="s">
        <v>1101</v>
      </c>
      <c r="E663" t="s">
        <v>2122</v>
      </c>
      <c r="F663" t="s">
        <v>2012</v>
      </c>
      <c r="G663" t="s">
        <v>1950</v>
      </c>
      <c r="H663" t="s">
        <v>2127</v>
      </c>
      <c r="I663" t="s">
        <v>2128</v>
      </c>
      <c r="J663" t="s">
        <v>28</v>
      </c>
      <c r="L663" t="s">
        <v>52</v>
      </c>
      <c r="M663" s="3" t="s">
        <v>52</v>
      </c>
      <c r="O663" t="s">
        <v>970</v>
      </c>
    </row>
    <row r="664" spans="1:15" x14ac:dyDescent="0.25">
      <c r="A664" t="s">
        <v>1902</v>
      </c>
      <c r="B664" t="s">
        <v>1902</v>
      </c>
      <c r="C664" t="s">
        <v>2121</v>
      </c>
      <c r="D664" t="s">
        <v>1101</v>
      </c>
      <c r="E664" t="s">
        <v>2122</v>
      </c>
      <c r="F664" t="s">
        <v>2012</v>
      </c>
      <c r="G664" t="s">
        <v>1950</v>
      </c>
      <c r="H664" t="s">
        <v>2129</v>
      </c>
      <c r="I664" t="s">
        <v>2130</v>
      </c>
      <c r="J664" t="s">
        <v>28</v>
      </c>
      <c r="L664" t="s">
        <v>52</v>
      </c>
      <c r="M664" s="3" t="s">
        <v>52</v>
      </c>
      <c r="O664" t="s">
        <v>970</v>
      </c>
    </row>
    <row r="665" spans="1:15" x14ac:dyDescent="0.25">
      <c r="A665" t="s">
        <v>1902</v>
      </c>
      <c r="B665" t="s">
        <v>1902</v>
      </c>
      <c r="C665" t="s">
        <v>2131</v>
      </c>
      <c r="D665" t="s">
        <v>1187</v>
      </c>
      <c r="E665" t="s">
        <v>2132</v>
      </c>
      <c r="F665" t="s">
        <v>2012</v>
      </c>
      <c r="G665" t="s">
        <v>1950</v>
      </c>
      <c r="H665" t="s">
        <v>2133</v>
      </c>
      <c r="I665" t="s">
        <v>2134</v>
      </c>
      <c r="J665" t="s">
        <v>28</v>
      </c>
      <c r="M665" s="3" t="s">
        <v>52</v>
      </c>
    </row>
    <row r="666" spans="1:15" x14ac:dyDescent="0.25">
      <c r="A666" t="s">
        <v>1902</v>
      </c>
      <c r="B666" t="s">
        <v>1902</v>
      </c>
      <c r="C666" t="s">
        <v>2131</v>
      </c>
      <c r="D666" t="s">
        <v>1187</v>
      </c>
      <c r="E666" t="s">
        <v>2132</v>
      </c>
      <c r="F666" t="s">
        <v>2012</v>
      </c>
      <c r="G666" t="s">
        <v>1950</v>
      </c>
      <c r="H666" t="s">
        <v>2135</v>
      </c>
      <c r="I666" t="s">
        <v>2136</v>
      </c>
      <c r="J666" t="s">
        <v>28</v>
      </c>
      <c r="M666" s="3" t="s">
        <v>52</v>
      </c>
    </row>
    <row r="667" spans="1:15" x14ac:dyDescent="0.25">
      <c r="A667" t="s">
        <v>1902</v>
      </c>
      <c r="B667" t="s">
        <v>1902</v>
      </c>
      <c r="C667" t="s">
        <v>2131</v>
      </c>
      <c r="D667" t="s">
        <v>1187</v>
      </c>
      <c r="E667" t="s">
        <v>2132</v>
      </c>
      <c r="F667" t="s">
        <v>2012</v>
      </c>
      <c r="G667" t="s">
        <v>1950</v>
      </c>
      <c r="H667" t="s">
        <v>2137</v>
      </c>
      <c r="I667" t="s">
        <v>2138</v>
      </c>
      <c r="J667" t="s">
        <v>28</v>
      </c>
      <c r="M667" s="3" t="s">
        <v>52</v>
      </c>
    </row>
    <row r="668" spans="1:15" x14ac:dyDescent="0.25">
      <c r="A668" t="s">
        <v>1902</v>
      </c>
      <c r="B668" t="s">
        <v>1902</v>
      </c>
      <c r="C668" t="s">
        <v>2131</v>
      </c>
      <c r="D668" t="s">
        <v>1187</v>
      </c>
      <c r="E668" t="s">
        <v>2132</v>
      </c>
      <c r="F668" t="s">
        <v>2012</v>
      </c>
      <c r="G668" t="s">
        <v>1950</v>
      </c>
      <c r="H668" t="s">
        <v>2139</v>
      </c>
      <c r="I668" t="s">
        <v>2140</v>
      </c>
      <c r="J668" t="s">
        <v>28</v>
      </c>
      <c r="M668" s="3" t="s">
        <v>52</v>
      </c>
    </row>
    <row r="669" spans="1:15" x14ac:dyDescent="0.25">
      <c r="A669" t="s">
        <v>1902</v>
      </c>
      <c r="B669" t="s">
        <v>1902</v>
      </c>
      <c r="C669" t="s">
        <v>2141</v>
      </c>
      <c r="D669" t="s">
        <v>1187</v>
      </c>
      <c r="E669" t="s">
        <v>2142</v>
      </c>
      <c r="F669" t="s">
        <v>2012</v>
      </c>
      <c r="G669" t="s">
        <v>1950</v>
      </c>
      <c r="H669" t="s">
        <v>2143</v>
      </c>
      <c r="I669" t="s">
        <v>2144</v>
      </c>
      <c r="J669" t="s">
        <v>28</v>
      </c>
      <c r="L669" t="s">
        <v>623</v>
      </c>
      <c r="M669" s="6" t="s">
        <v>373</v>
      </c>
      <c r="O669" t="s">
        <v>2001</v>
      </c>
    </row>
    <row r="670" spans="1:15" x14ac:dyDescent="0.25">
      <c r="A670" t="s">
        <v>1902</v>
      </c>
      <c r="B670" t="s">
        <v>1902</v>
      </c>
      <c r="C670" t="s">
        <v>2141</v>
      </c>
      <c r="D670" t="s">
        <v>1187</v>
      </c>
      <c r="E670" t="s">
        <v>2142</v>
      </c>
      <c r="F670" t="s">
        <v>2012</v>
      </c>
      <c r="G670" t="s">
        <v>1950</v>
      </c>
      <c r="H670" t="s">
        <v>2145</v>
      </c>
      <c r="I670" t="s">
        <v>2146</v>
      </c>
      <c r="J670" t="s">
        <v>28</v>
      </c>
      <c r="L670" t="s">
        <v>623</v>
      </c>
      <c r="M670" s="6" t="s">
        <v>373</v>
      </c>
      <c r="O670" t="s">
        <v>2001</v>
      </c>
    </row>
    <row r="671" spans="1:15" x14ac:dyDescent="0.25">
      <c r="A671" t="s">
        <v>1902</v>
      </c>
      <c r="B671" t="s">
        <v>1902</v>
      </c>
      <c r="C671" t="s">
        <v>2141</v>
      </c>
      <c r="D671" t="s">
        <v>1187</v>
      </c>
      <c r="E671" t="s">
        <v>2142</v>
      </c>
      <c r="F671" t="s">
        <v>2012</v>
      </c>
      <c r="G671" t="s">
        <v>1950</v>
      </c>
      <c r="H671" t="s">
        <v>2147</v>
      </c>
      <c r="I671" t="s">
        <v>2148</v>
      </c>
      <c r="J671" t="s">
        <v>28</v>
      </c>
      <c r="L671" t="s">
        <v>623</v>
      </c>
      <c r="M671" s="6" t="s">
        <v>373</v>
      </c>
      <c r="O671" t="s">
        <v>2001</v>
      </c>
    </row>
    <row r="672" spans="1:15" x14ac:dyDescent="0.25">
      <c r="A672" t="s">
        <v>1902</v>
      </c>
      <c r="B672" t="s">
        <v>1902</v>
      </c>
      <c r="C672" t="s">
        <v>2141</v>
      </c>
      <c r="D672" t="s">
        <v>1187</v>
      </c>
      <c r="E672" t="s">
        <v>2142</v>
      </c>
      <c r="F672" t="s">
        <v>2012</v>
      </c>
      <c r="G672" t="s">
        <v>1950</v>
      </c>
      <c r="H672" t="s">
        <v>2149</v>
      </c>
      <c r="I672" t="s">
        <v>2150</v>
      </c>
      <c r="J672" t="s">
        <v>28</v>
      </c>
      <c r="L672" t="s">
        <v>623</v>
      </c>
      <c r="M672" s="6" t="s">
        <v>373</v>
      </c>
      <c r="O672" t="s">
        <v>2001</v>
      </c>
    </row>
    <row r="673" spans="1:15" x14ac:dyDescent="0.25">
      <c r="A673" t="s">
        <v>1902</v>
      </c>
      <c r="B673" t="s">
        <v>1902</v>
      </c>
      <c r="C673" t="s">
        <v>2151</v>
      </c>
      <c r="D673" t="s">
        <v>1101</v>
      </c>
      <c r="E673" t="s">
        <v>2152</v>
      </c>
      <c r="F673" t="s">
        <v>2012</v>
      </c>
      <c r="G673" t="s">
        <v>1950</v>
      </c>
      <c r="H673" t="s">
        <v>2153</v>
      </c>
      <c r="I673" t="s">
        <v>2154</v>
      </c>
      <c r="J673" t="s">
        <v>28</v>
      </c>
      <c r="L673" t="s">
        <v>623</v>
      </c>
      <c r="M673" s="6" t="s">
        <v>373</v>
      </c>
      <c r="O673" t="s">
        <v>2001</v>
      </c>
    </row>
    <row r="674" spans="1:15" x14ac:dyDescent="0.25">
      <c r="A674" t="s">
        <v>1902</v>
      </c>
      <c r="B674" t="s">
        <v>1902</v>
      </c>
      <c r="C674" t="s">
        <v>2151</v>
      </c>
      <c r="D674" t="s">
        <v>1101</v>
      </c>
      <c r="E674" t="s">
        <v>2152</v>
      </c>
      <c r="F674" t="s">
        <v>2012</v>
      </c>
      <c r="G674" t="s">
        <v>1950</v>
      </c>
      <c r="H674" t="s">
        <v>2155</v>
      </c>
      <c r="I674" t="s">
        <v>2156</v>
      </c>
      <c r="J674" t="s">
        <v>28</v>
      </c>
      <c r="L674" t="s">
        <v>623</v>
      </c>
      <c r="M674" s="6" t="s">
        <v>373</v>
      </c>
      <c r="O674" t="s">
        <v>2001</v>
      </c>
    </row>
    <row r="675" spans="1:15" x14ac:dyDescent="0.25">
      <c r="A675" t="s">
        <v>1902</v>
      </c>
      <c r="B675" t="s">
        <v>1902</v>
      </c>
      <c r="C675" t="s">
        <v>2151</v>
      </c>
      <c r="D675" t="s">
        <v>1101</v>
      </c>
      <c r="E675" t="s">
        <v>2152</v>
      </c>
      <c r="F675" t="s">
        <v>2012</v>
      </c>
      <c r="G675" t="s">
        <v>1950</v>
      </c>
      <c r="H675" t="s">
        <v>2157</v>
      </c>
      <c r="I675" t="s">
        <v>2158</v>
      </c>
      <c r="J675" t="s">
        <v>28</v>
      </c>
      <c r="L675" t="s">
        <v>623</v>
      </c>
      <c r="M675" s="6" t="s">
        <v>373</v>
      </c>
      <c r="O675" t="s">
        <v>2001</v>
      </c>
    </row>
    <row r="676" spans="1:15" x14ac:dyDescent="0.25">
      <c r="A676" t="s">
        <v>1902</v>
      </c>
      <c r="B676" t="s">
        <v>1902</v>
      </c>
      <c r="C676" t="s">
        <v>2151</v>
      </c>
      <c r="D676" t="s">
        <v>1101</v>
      </c>
      <c r="E676" t="s">
        <v>2152</v>
      </c>
      <c r="F676" t="s">
        <v>2012</v>
      </c>
      <c r="G676" t="s">
        <v>1950</v>
      </c>
      <c r="H676" t="s">
        <v>2159</v>
      </c>
      <c r="I676" t="s">
        <v>2160</v>
      </c>
      <c r="J676" t="s">
        <v>28</v>
      </c>
      <c r="L676" t="s">
        <v>623</v>
      </c>
      <c r="M676" s="6" t="s">
        <v>373</v>
      </c>
      <c r="O676" t="s">
        <v>2001</v>
      </c>
    </row>
    <row r="677" spans="1:15" x14ac:dyDescent="0.25">
      <c r="A677" t="s">
        <v>1902</v>
      </c>
      <c r="B677" t="s">
        <v>1902</v>
      </c>
      <c r="C677" t="s">
        <v>2161</v>
      </c>
      <c r="D677" t="s">
        <v>1187</v>
      </c>
      <c r="E677" t="s">
        <v>2162</v>
      </c>
      <c r="F677" t="s">
        <v>2012</v>
      </c>
      <c r="G677" t="s">
        <v>756</v>
      </c>
      <c r="H677" t="s">
        <v>2163</v>
      </c>
      <c r="I677" t="s">
        <v>2164</v>
      </c>
      <c r="J677" t="s">
        <v>28</v>
      </c>
      <c r="L677" t="s">
        <v>623</v>
      </c>
      <c r="M677" s="6" t="s">
        <v>373</v>
      </c>
      <c r="O677" t="s">
        <v>2001</v>
      </c>
    </row>
    <row r="678" spans="1:15" x14ac:dyDescent="0.25">
      <c r="A678" t="s">
        <v>1902</v>
      </c>
      <c r="B678" t="s">
        <v>1902</v>
      </c>
      <c r="C678" t="s">
        <v>2161</v>
      </c>
      <c r="D678" t="s">
        <v>1187</v>
      </c>
      <c r="E678" t="s">
        <v>2162</v>
      </c>
      <c r="F678" t="s">
        <v>2012</v>
      </c>
      <c r="G678" t="s">
        <v>756</v>
      </c>
      <c r="H678" t="s">
        <v>2165</v>
      </c>
      <c r="I678" t="s">
        <v>2166</v>
      </c>
      <c r="J678" t="s">
        <v>28</v>
      </c>
      <c r="L678" t="s">
        <v>623</v>
      </c>
      <c r="M678" s="6" t="s">
        <v>373</v>
      </c>
      <c r="O678" t="s">
        <v>2001</v>
      </c>
    </row>
    <row r="679" spans="1:15" x14ac:dyDescent="0.25">
      <c r="A679" t="s">
        <v>1902</v>
      </c>
      <c r="B679" t="s">
        <v>1902</v>
      </c>
      <c r="C679" t="s">
        <v>2161</v>
      </c>
      <c r="D679" t="s">
        <v>1187</v>
      </c>
      <c r="E679" t="s">
        <v>2162</v>
      </c>
      <c r="F679" t="s">
        <v>2012</v>
      </c>
      <c r="G679" t="s">
        <v>756</v>
      </c>
      <c r="H679" t="s">
        <v>2167</v>
      </c>
      <c r="I679" t="s">
        <v>2168</v>
      </c>
      <c r="J679" t="s">
        <v>28</v>
      </c>
      <c r="L679" t="s">
        <v>623</v>
      </c>
      <c r="M679" s="6" t="s">
        <v>373</v>
      </c>
      <c r="O679" t="s">
        <v>2001</v>
      </c>
    </row>
    <row r="680" spans="1:15" x14ac:dyDescent="0.25">
      <c r="A680" t="s">
        <v>1902</v>
      </c>
      <c r="B680" t="s">
        <v>1902</v>
      </c>
      <c r="C680" t="s">
        <v>2161</v>
      </c>
      <c r="D680" t="s">
        <v>1187</v>
      </c>
      <c r="E680" t="s">
        <v>2162</v>
      </c>
      <c r="F680" t="s">
        <v>2012</v>
      </c>
      <c r="G680" t="s">
        <v>756</v>
      </c>
      <c r="H680" t="s">
        <v>2169</v>
      </c>
      <c r="I680" t="s">
        <v>2170</v>
      </c>
      <c r="J680" t="s">
        <v>28</v>
      </c>
      <c r="L680" t="s">
        <v>623</v>
      </c>
      <c r="M680" s="6" t="s">
        <v>373</v>
      </c>
      <c r="O680" t="s">
        <v>2001</v>
      </c>
    </row>
    <row r="681" spans="1:15" x14ac:dyDescent="0.25">
      <c r="A681" t="s">
        <v>1902</v>
      </c>
      <c r="B681" t="s">
        <v>1902</v>
      </c>
      <c r="C681" t="s">
        <v>2171</v>
      </c>
      <c r="D681" t="s">
        <v>1187</v>
      </c>
      <c r="E681" t="s">
        <v>2172</v>
      </c>
      <c r="F681" t="s">
        <v>2012</v>
      </c>
      <c r="G681" t="s">
        <v>52</v>
      </c>
      <c r="H681" t="s">
        <v>2173</v>
      </c>
      <c r="I681" t="s">
        <v>970</v>
      </c>
      <c r="J681" t="s">
        <v>28</v>
      </c>
      <c r="L681" t="s">
        <v>52</v>
      </c>
      <c r="M681" s="3" t="s">
        <v>52</v>
      </c>
      <c r="O681" t="s">
        <v>1952</v>
      </c>
    </row>
    <row r="682" spans="1:15" x14ac:dyDescent="0.25">
      <c r="A682" t="s">
        <v>1902</v>
      </c>
      <c r="B682" t="s">
        <v>1902</v>
      </c>
      <c r="C682" t="s">
        <v>2174</v>
      </c>
      <c r="D682" t="s">
        <v>1091</v>
      </c>
      <c r="E682" t="s">
        <v>2175</v>
      </c>
      <c r="F682" t="s">
        <v>2176</v>
      </c>
      <c r="G682" t="s">
        <v>756</v>
      </c>
      <c r="H682" t="s">
        <v>2177</v>
      </c>
      <c r="I682" t="s">
        <v>2178</v>
      </c>
      <c r="J682" t="s">
        <v>28</v>
      </c>
      <c r="L682" t="s">
        <v>623</v>
      </c>
      <c r="M682" s="6" t="s">
        <v>373</v>
      </c>
      <c r="O682" t="s">
        <v>2001</v>
      </c>
    </row>
    <row r="683" spans="1:15" x14ac:dyDescent="0.25">
      <c r="A683" t="s">
        <v>1902</v>
      </c>
      <c r="B683" t="s">
        <v>1902</v>
      </c>
      <c r="C683" t="s">
        <v>2174</v>
      </c>
      <c r="D683" t="s">
        <v>1091</v>
      </c>
      <c r="E683" t="s">
        <v>2175</v>
      </c>
      <c r="F683" t="s">
        <v>2176</v>
      </c>
      <c r="G683" t="s">
        <v>756</v>
      </c>
      <c r="H683" t="s">
        <v>2179</v>
      </c>
      <c r="I683" t="s">
        <v>2180</v>
      </c>
      <c r="J683" t="s">
        <v>28</v>
      </c>
      <c r="L683" t="s">
        <v>623</v>
      </c>
      <c r="M683" s="6" t="s">
        <v>373</v>
      </c>
      <c r="O683" t="s">
        <v>2001</v>
      </c>
    </row>
    <row r="684" spans="1:15" x14ac:dyDescent="0.25">
      <c r="A684" t="s">
        <v>1902</v>
      </c>
      <c r="B684" t="s">
        <v>1902</v>
      </c>
      <c r="C684" t="s">
        <v>2174</v>
      </c>
      <c r="D684" t="s">
        <v>1091</v>
      </c>
      <c r="E684" t="s">
        <v>2175</v>
      </c>
      <c r="F684" t="s">
        <v>2176</v>
      </c>
      <c r="G684" t="s">
        <v>756</v>
      </c>
      <c r="H684" t="s">
        <v>2181</v>
      </c>
      <c r="I684" t="s">
        <v>2182</v>
      </c>
      <c r="J684" t="s">
        <v>28</v>
      </c>
      <c r="L684" t="s">
        <v>623</v>
      </c>
      <c r="M684" s="6" t="s">
        <v>373</v>
      </c>
      <c r="O684" t="s">
        <v>2001</v>
      </c>
    </row>
    <row r="685" spans="1:15" x14ac:dyDescent="0.25">
      <c r="A685" t="s">
        <v>1902</v>
      </c>
      <c r="B685" t="s">
        <v>1902</v>
      </c>
      <c r="C685" t="s">
        <v>2174</v>
      </c>
      <c r="D685" t="s">
        <v>1091</v>
      </c>
      <c r="E685" t="s">
        <v>2175</v>
      </c>
      <c r="F685" t="s">
        <v>2176</v>
      </c>
      <c r="G685" t="s">
        <v>756</v>
      </c>
      <c r="H685" t="s">
        <v>2183</v>
      </c>
      <c r="I685" t="s">
        <v>2184</v>
      </c>
      <c r="J685" t="s">
        <v>28</v>
      </c>
      <c r="L685" t="s">
        <v>623</v>
      </c>
      <c r="M685" s="6" t="s">
        <v>373</v>
      </c>
      <c r="O685" t="s">
        <v>2001</v>
      </c>
    </row>
    <row r="686" spans="1:15" x14ac:dyDescent="0.25">
      <c r="A686" t="s">
        <v>1902</v>
      </c>
      <c r="B686" t="s">
        <v>1902</v>
      </c>
      <c r="C686" t="s">
        <v>2174</v>
      </c>
      <c r="D686" t="s">
        <v>1091</v>
      </c>
      <c r="E686" t="s">
        <v>2175</v>
      </c>
      <c r="F686" t="s">
        <v>2176</v>
      </c>
      <c r="G686" t="s">
        <v>756</v>
      </c>
      <c r="H686" t="s">
        <v>2185</v>
      </c>
      <c r="I686" t="s">
        <v>2186</v>
      </c>
      <c r="J686" t="s">
        <v>28</v>
      </c>
      <c r="L686" t="s">
        <v>623</v>
      </c>
      <c r="M686" s="6" t="s">
        <v>373</v>
      </c>
      <c r="O686" t="s">
        <v>2001</v>
      </c>
    </row>
    <row r="687" spans="1:15" x14ac:dyDescent="0.25">
      <c r="A687" t="s">
        <v>1902</v>
      </c>
      <c r="B687" t="s">
        <v>1902</v>
      </c>
      <c r="C687" t="s">
        <v>2187</v>
      </c>
      <c r="D687" t="s">
        <v>1091</v>
      </c>
      <c r="E687" t="s">
        <v>2188</v>
      </c>
      <c r="F687" t="s">
        <v>2012</v>
      </c>
      <c r="G687" t="s">
        <v>2189</v>
      </c>
      <c r="H687" t="s">
        <v>2190</v>
      </c>
      <c r="I687" t="s">
        <v>2191</v>
      </c>
      <c r="J687" t="s">
        <v>28</v>
      </c>
      <c r="M687" s="3" t="s">
        <v>52</v>
      </c>
    </row>
    <row r="688" spans="1:15" x14ac:dyDescent="0.25">
      <c r="A688" t="s">
        <v>1902</v>
      </c>
      <c r="B688" t="s">
        <v>1902</v>
      </c>
      <c r="C688" t="s">
        <v>2187</v>
      </c>
      <c r="D688" t="s">
        <v>1091</v>
      </c>
      <c r="E688" t="s">
        <v>2188</v>
      </c>
      <c r="F688" t="s">
        <v>2012</v>
      </c>
      <c r="G688" t="s">
        <v>2189</v>
      </c>
      <c r="H688" t="s">
        <v>2192</v>
      </c>
      <c r="I688" t="s">
        <v>2193</v>
      </c>
      <c r="J688" t="s">
        <v>28</v>
      </c>
      <c r="M688" s="3" t="s">
        <v>52</v>
      </c>
    </row>
    <row r="689" spans="1:15" x14ac:dyDescent="0.25">
      <c r="A689" t="s">
        <v>1902</v>
      </c>
      <c r="B689" t="s">
        <v>1902</v>
      </c>
      <c r="C689" t="s">
        <v>2187</v>
      </c>
      <c r="D689" t="s">
        <v>1091</v>
      </c>
      <c r="E689" t="s">
        <v>2188</v>
      </c>
      <c r="F689" t="s">
        <v>2012</v>
      </c>
      <c r="G689" t="s">
        <v>2189</v>
      </c>
      <c r="H689" t="s">
        <v>2194</v>
      </c>
      <c r="I689" t="s">
        <v>2195</v>
      </c>
      <c r="J689" t="s">
        <v>28</v>
      </c>
      <c r="M689" s="3" t="s">
        <v>52</v>
      </c>
    </row>
    <row r="690" spans="1:15" x14ac:dyDescent="0.25">
      <c r="A690" t="s">
        <v>1902</v>
      </c>
      <c r="B690" t="s">
        <v>1902</v>
      </c>
      <c r="C690" t="s">
        <v>2187</v>
      </c>
      <c r="D690" t="s">
        <v>1091</v>
      </c>
      <c r="E690" t="s">
        <v>2188</v>
      </c>
      <c r="F690" t="s">
        <v>2012</v>
      </c>
      <c r="G690" t="s">
        <v>2189</v>
      </c>
      <c r="H690" t="s">
        <v>2196</v>
      </c>
      <c r="I690" t="s">
        <v>2197</v>
      </c>
      <c r="J690" t="s">
        <v>28</v>
      </c>
      <c r="M690" s="3" t="s">
        <v>52</v>
      </c>
    </row>
    <row r="691" spans="1:15" x14ac:dyDescent="0.25">
      <c r="A691" t="s">
        <v>1902</v>
      </c>
      <c r="B691" t="s">
        <v>1902</v>
      </c>
      <c r="C691" t="s">
        <v>2198</v>
      </c>
      <c r="D691" t="s">
        <v>1091</v>
      </c>
      <c r="E691" t="s">
        <v>2199</v>
      </c>
      <c r="F691" t="s">
        <v>2012</v>
      </c>
      <c r="G691" t="s">
        <v>115</v>
      </c>
      <c r="H691" t="s">
        <v>2200</v>
      </c>
      <c r="I691" t="s">
        <v>2201</v>
      </c>
      <c r="J691" t="s">
        <v>28</v>
      </c>
      <c r="M691" s="3" t="s">
        <v>52</v>
      </c>
    </row>
    <row r="692" spans="1:15" x14ac:dyDescent="0.25">
      <c r="A692" t="s">
        <v>1902</v>
      </c>
      <c r="B692" t="s">
        <v>1902</v>
      </c>
      <c r="C692" t="s">
        <v>2198</v>
      </c>
      <c r="D692" t="s">
        <v>1091</v>
      </c>
      <c r="E692" t="s">
        <v>2199</v>
      </c>
      <c r="F692" t="s">
        <v>2012</v>
      </c>
      <c r="G692" t="s">
        <v>115</v>
      </c>
      <c r="H692" t="s">
        <v>2202</v>
      </c>
      <c r="I692" t="s">
        <v>2203</v>
      </c>
      <c r="J692" t="s">
        <v>28</v>
      </c>
      <c r="M692" s="3" t="s">
        <v>52</v>
      </c>
    </row>
    <row r="693" spans="1:15" x14ac:dyDescent="0.25">
      <c r="A693" t="s">
        <v>1902</v>
      </c>
      <c r="B693" t="s">
        <v>1902</v>
      </c>
      <c r="C693" t="s">
        <v>2198</v>
      </c>
      <c r="D693" t="s">
        <v>1091</v>
      </c>
      <c r="E693" t="s">
        <v>2199</v>
      </c>
      <c r="F693" t="s">
        <v>2012</v>
      </c>
      <c r="G693" t="s">
        <v>115</v>
      </c>
      <c r="H693" t="s">
        <v>2204</v>
      </c>
      <c r="I693" t="s">
        <v>2205</v>
      </c>
      <c r="J693" t="s">
        <v>28</v>
      </c>
      <c r="M693" s="3" t="s">
        <v>52</v>
      </c>
    </row>
    <row r="694" spans="1:15" x14ac:dyDescent="0.25">
      <c r="A694" t="s">
        <v>1902</v>
      </c>
      <c r="B694" t="s">
        <v>1902</v>
      </c>
      <c r="C694" t="s">
        <v>2198</v>
      </c>
      <c r="D694" t="s">
        <v>1091</v>
      </c>
      <c r="E694" t="s">
        <v>2199</v>
      </c>
      <c r="F694" t="s">
        <v>2012</v>
      </c>
      <c r="G694" t="s">
        <v>115</v>
      </c>
      <c r="H694" t="s">
        <v>2206</v>
      </c>
      <c r="I694" t="s">
        <v>2207</v>
      </c>
      <c r="J694" t="s">
        <v>28</v>
      </c>
      <c r="M694" s="3" t="s">
        <v>52</v>
      </c>
    </row>
    <row r="695" spans="1:15" x14ac:dyDescent="0.25">
      <c r="A695" t="s">
        <v>1902</v>
      </c>
      <c r="B695" t="s">
        <v>1902</v>
      </c>
      <c r="C695" t="s">
        <v>2198</v>
      </c>
      <c r="D695" t="s">
        <v>1091</v>
      </c>
      <c r="E695" t="s">
        <v>2199</v>
      </c>
      <c r="F695" t="s">
        <v>2012</v>
      </c>
      <c r="G695" t="s">
        <v>115</v>
      </c>
      <c r="H695" t="s">
        <v>2208</v>
      </c>
      <c r="I695" t="s">
        <v>2209</v>
      </c>
      <c r="J695" t="s">
        <v>28</v>
      </c>
      <c r="M695" s="3" t="s">
        <v>52</v>
      </c>
    </row>
    <row r="696" spans="1:15" x14ac:dyDescent="0.25">
      <c r="A696" t="s">
        <v>1902</v>
      </c>
      <c r="B696" t="s">
        <v>1902</v>
      </c>
      <c r="C696" t="s">
        <v>2198</v>
      </c>
      <c r="D696" t="s">
        <v>1091</v>
      </c>
      <c r="E696" t="s">
        <v>2199</v>
      </c>
      <c r="F696" t="s">
        <v>2012</v>
      </c>
      <c r="G696" t="s">
        <v>115</v>
      </c>
      <c r="H696" t="s">
        <v>2210</v>
      </c>
      <c r="I696" t="s">
        <v>2211</v>
      </c>
      <c r="J696" t="s">
        <v>28</v>
      </c>
      <c r="M696" s="3" t="s">
        <v>52</v>
      </c>
    </row>
    <row r="697" spans="1:15" x14ac:dyDescent="0.25">
      <c r="A697" t="s">
        <v>1902</v>
      </c>
      <c r="B697" t="s">
        <v>1902</v>
      </c>
      <c r="C697" t="s">
        <v>2212</v>
      </c>
      <c r="D697" t="s">
        <v>1187</v>
      </c>
      <c r="E697" t="s">
        <v>2213</v>
      </c>
      <c r="F697" t="s">
        <v>2012</v>
      </c>
      <c r="G697" t="s">
        <v>1950</v>
      </c>
      <c r="H697" t="s">
        <v>2214</v>
      </c>
      <c r="I697" t="s">
        <v>2215</v>
      </c>
      <c r="J697" t="s">
        <v>28</v>
      </c>
      <c r="L697" t="s">
        <v>623</v>
      </c>
      <c r="M697" s="6" t="s">
        <v>373</v>
      </c>
      <c r="O697" t="s">
        <v>2001</v>
      </c>
    </row>
    <row r="698" spans="1:15" x14ac:dyDescent="0.25">
      <c r="A698" t="s">
        <v>1902</v>
      </c>
      <c r="B698" t="s">
        <v>1902</v>
      </c>
      <c r="C698" t="s">
        <v>2212</v>
      </c>
      <c r="D698" t="s">
        <v>1187</v>
      </c>
      <c r="E698" t="s">
        <v>2213</v>
      </c>
      <c r="F698" t="s">
        <v>2012</v>
      </c>
      <c r="G698" t="s">
        <v>1950</v>
      </c>
      <c r="H698" t="s">
        <v>2216</v>
      </c>
      <c r="I698" t="s">
        <v>2217</v>
      </c>
      <c r="J698" t="s">
        <v>28</v>
      </c>
      <c r="L698" t="s">
        <v>623</v>
      </c>
      <c r="M698" s="6" t="s">
        <v>373</v>
      </c>
      <c r="O698" t="s">
        <v>2001</v>
      </c>
    </row>
    <row r="699" spans="1:15" x14ac:dyDescent="0.25">
      <c r="A699" t="s">
        <v>1902</v>
      </c>
      <c r="B699" t="s">
        <v>1902</v>
      </c>
      <c r="C699" t="s">
        <v>2212</v>
      </c>
      <c r="D699" t="s">
        <v>1187</v>
      </c>
      <c r="E699" t="s">
        <v>2213</v>
      </c>
      <c r="F699" t="s">
        <v>2012</v>
      </c>
      <c r="G699" t="s">
        <v>1950</v>
      </c>
      <c r="H699" t="s">
        <v>2218</v>
      </c>
      <c r="I699" t="s">
        <v>2219</v>
      </c>
      <c r="J699" t="s">
        <v>28</v>
      </c>
      <c r="L699" t="s">
        <v>623</v>
      </c>
      <c r="M699" s="6" t="s">
        <v>373</v>
      </c>
      <c r="O699" t="s">
        <v>2001</v>
      </c>
    </row>
    <row r="700" spans="1:15" x14ac:dyDescent="0.25">
      <c r="A700" t="s">
        <v>1902</v>
      </c>
      <c r="B700" t="s">
        <v>1902</v>
      </c>
      <c r="C700" t="s">
        <v>2220</v>
      </c>
      <c r="D700" t="s">
        <v>1187</v>
      </c>
      <c r="E700" t="s">
        <v>2221</v>
      </c>
      <c r="F700" t="s">
        <v>2176</v>
      </c>
      <c r="G700" t="s">
        <v>115</v>
      </c>
      <c r="H700" t="s">
        <v>2222</v>
      </c>
      <c r="I700" t="s">
        <v>2223</v>
      </c>
      <c r="J700" t="s">
        <v>28</v>
      </c>
      <c r="L700" t="s">
        <v>623</v>
      </c>
      <c r="M700" s="6" t="s">
        <v>373</v>
      </c>
      <c r="O700" t="s">
        <v>2001</v>
      </c>
    </row>
    <row r="701" spans="1:15" x14ac:dyDescent="0.25">
      <c r="A701" t="s">
        <v>1902</v>
      </c>
      <c r="B701" t="s">
        <v>1902</v>
      </c>
      <c r="C701" t="s">
        <v>2220</v>
      </c>
      <c r="D701" t="s">
        <v>1187</v>
      </c>
      <c r="E701" t="s">
        <v>2221</v>
      </c>
      <c r="F701" t="s">
        <v>2176</v>
      </c>
      <c r="G701" t="s">
        <v>115</v>
      </c>
      <c r="H701" t="s">
        <v>2224</v>
      </c>
      <c r="I701" t="s">
        <v>2225</v>
      </c>
      <c r="J701" t="s">
        <v>28</v>
      </c>
      <c r="L701" t="s">
        <v>623</v>
      </c>
      <c r="M701" s="6" t="s">
        <v>373</v>
      </c>
      <c r="O701" t="s">
        <v>2001</v>
      </c>
    </row>
    <row r="702" spans="1:15" x14ac:dyDescent="0.25">
      <c r="A702" t="s">
        <v>1902</v>
      </c>
      <c r="B702" t="s">
        <v>1902</v>
      </c>
      <c r="C702" t="s">
        <v>2220</v>
      </c>
      <c r="D702" t="s">
        <v>1187</v>
      </c>
      <c r="E702" t="s">
        <v>2221</v>
      </c>
      <c r="F702" t="s">
        <v>2176</v>
      </c>
      <c r="G702" t="s">
        <v>115</v>
      </c>
      <c r="H702" t="s">
        <v>2226</v>
      </c>
      <c r="I702" t="s">
        <v>2227</v>
      </c>
      <c r="J702" t="s">
        <v>28</v>
      </c>
      <c r="L702" t="s">
        <v>623</v>
      </c>
      <c r="M702" s="6" t="s">
        <v>373</v>
      </c>
      <c r="O702" t="s">
        <v>2001</v>
      </c>
    </row>
    <row r="703" spans="1:15" x14ac:dyDescent="0.25">
      <c r="A703" t="s">
        <v>1902</v>
      </c>
      <c r="B703" t="s">
        <v>1902</v>
      </c>
      <c r="C703" t="s">
        <v>2220</v>
      </c>
      <c r="D703" t="s">
        <v>1187</v>
      </c>
      <c r="E703" t="s">
        <v>2221</v>
      </c>
      <c r="F703" t="s">
        <v>2176</v>
      </c>
      <c r="G703" t="s">
        <v>115</v>
      </c>
      <c r="H703" t="s">
        <v>2228</v>
      </c>
      <c r="I703" t="s">
        <v>2229</v>
      </c>
      <c r="J703" t="s">
        <v>28</v>
      </c>
      <c r="L703" t="s">
        <v>623</v>
      </c>
      <c r="M703" s="6" t="s">
        <v>373</v>
      </c>
      <c r="O703" t="s">
        <v>2001</v>
      </c>
    </row>
    <row r="704" spans="1:15" x14ac:dyDescent="0.25">
      <c r="A704" t="s">
        <v>1902</v>
      </c>
      <c r="B704" t="s">
        <v>1902</v>
      </c>
      <c r="C704" t="s">
        <v>2230</v>
      </c>
      <c r="D704" t="s">
        <v>1091</v>
      </c>
      <c r="E704" t="s">
        <v>2231</v>
      </c>
      <c r="F704" t="s">
        <v>2012</v>
      </c>
      <c r="G704" t="s">
        <v>115</v>
      </c>
      <c r="H704" t="s">
        <v>2232</v>
      </c>
      <c r="I704" t="s">
        <v>2233</v>
      </c>
      <c r="J704" t="s">
        <v>28</v>
      </c>
      <c r="L704" t="s">
        <v>52</v>
      </c>
      <c r="M704" s="3" t="s">
        <v>52</v>
      </c>
      <c r="O704" t="s">
        <v>970</v>
      </c>
    </row>
    <row r="705" spans="1:15" x14ac:dyDescent="0.25">
      <c r="A705" t="s">
        <v>1902</v>
      </c>
      <c r="B705" t="s">
        <v>1902</v>
      </c>
      <c r="C705" t="s">
        <v>2230</v>
      </c>
      <c r="D705" t="s">
        <v>1091</v>
      </c>
      <c r="E705" t="s">
        <v>2231</v>
      </c>
      <c r="F705" t="s">
        <v>2012</v>
      </c>
      <c r="G705" t="s">
        <v>115</v>
      </c>
      <c r="H705" t="s">
        <v>2234</v>
      </c>
      <c r="I705" t="s">
        <v>2235</v>
      </c>
      <c r="J705" t="s">
        <v>28</v>
      </c>
      <c r="L705" t="s">
        <v>52</v>
      </c>
      <c r="M705" s="3" t="s">
        <v>52</v>
      </c>
      <c r="O705" t="s">
        <v>970</v>
      </c>
    </row>
    <row r="706" spans="1:15" x14ac:dyDescent="0.25">
      <c r="A706" t="s">
        <v>1902</v>
      </c>
      <c r="B706" t="s">
        <v>1902</v>
      </c>
      <c r="C706" t="s">
        <v>2230</v>
      </c>
      <c r="D706" t="s">
        <v>1091</v>
      </c>
      <c r="E706" t="s">
        <v>2231</v>
      </c>
      <c r="F706" t="s">
        <v>2012</v>
      </c>
      <c r="G706" t="s">
        <v>115</v>
      </c>
      <c r="H706" t="s">
        <v>2236</v>
      </c>
      <c r="I706" t="s">
        <v>2237</v>
      </c>
      <c r="J706" t="s">
        <v>28</v>
      </c>
      <c r="L706" t="s">
        <v>52</v>
      </c>
      <c r="M706" s="3" t="s">
        <v>52</v>
      </c>
      <c r="O706" t="s">
        <v>970</v>
      </c>
    </row>
    <row r="707" spans="1:15" x14ac:dyDescent="0.25">
      <c r="A707" t="s">
        <v>1902</v>
      </c>
      <c r="B707" t="s">
        <v>1902</v>
      </c>
      <c r="C707" t="s">
        <v>2238</v>
      </c>
      <c r="D707" t="s">
        <v>1091</v>
      </c>
      <c r="E707" t="s">
        <v>2239</v>
      </c>
      <c r="F707" t="s">
        <v>2012</v>
      </c>
      <c r="G707" t="s">
        <v>115</v>
      </c>
      <c r="H707" t="s">
        <v>2240</v>
      </c>
      <c r="I707" t="s">
        <v>2241</v>
      </c>
      <c r="J707" t="s">
        <v>28</v>
      </c>
      <c r="M707" s="3" t="s">
        <v>52</v>
      </c>
    </row>
    <row r="708" spans="1:15" x14ac:dyDescent="0.25">
      <c r="A708" t="s">
        <v>1902</v>
      </c>
      <c r="B708" t="s">
        <v>1902</v>
      </c>
      <c r="C708" t="s">
        <v>2238</v>
      </c>
      <c r="D708" t="s">
        <v>1091</v>
      </c>
      <c r="E708" t="s">
        <v>2239</v>
      </c>
      <c r="F708" t="s">
        <v>2012</v>
      </c>
      <c r="G708" t="s">
        <v>115</v>
      </c>
      <c r="H708" t="s">
        <v>2242</v>
      </c>
      <c r="I708" t="s">
        <v>2243</v>
      </c>
      <c r="J708" t="s">
        <v>28</v>
      </c>
      <c r="M708" s="3" t="s">
        <v>52</v>
      </c>
    </row>
    <row r="709" spans="1:15" x14ac:dyDescent="0.25">
      <c r="A709" t="s">
        <v>1902</v>
      </c>
      <c r="B709" t="s">
        <v>1902</v>
      </c>
      <c r="C709" t="s">
        <v>2238</v>
      </c>
      <c r="D709" t="s">
        <v>1091</v>
      </c>
      <c r="E709" t="s">
        <v>2239</v>
      </c>
      <c r="F709" t="s">
        <v>2012</v>
      </c>
      <c r="G709" t="s">
        <v>115</v>
      </c>
      <c r="H709" t="s">
        <v>2244</v>
      </c>
      <c r="I709" t="s">
        <v>2245</v>
      </c>
      <c r="J709" t="s">
        <v>28</v>
      </c>
      <c r="M709" s="3" t="s">
        <v>52</v>
      </c>
    </row>
    <row r="710" spans="1:15" x14ac:dyDescent="0.25">
      <c r="A710" t="s">
        <v>1902</v>
      </c>
      <c r="B710" t="s">
        <v>1902</v>
      </c>
      <c r="C710" t="s">
        <v>2246</v>
      </c>
      <c r="D710" t="s">
        <v>1101</v>
      </c>
      <c r="E710" t="s">
        <v>2247</v>
      </c>
      <c r="F710" t="s">
        <v>2012</v>
      </c>
      <c r="G710" t="s">
        <v>115</v>
      </c>
      <c r="H710" t="s">
        <v>2248</v>
      </c>
      <c r="I710" t="s">
        <v>2249</v>
      </c>
      <c r="J710" t="s">
        <v>28</v>
      </c>
      <c r="M710" s="3" t="s">
        <v>52</v>
      </c>
    </row>
    <row r="711" spans="1:15" x14ac:dyDescent="0.25">
      <c r="A711" t="s">
        <v>1902</v>
      </c>
      <c r="B711" t="s">
        <v>1902</v>
      </c>
      <c r="C711" t="s">
        <v>2246</v>
      </c>
      <c r="D711" t="s">
        <v>1101</v>
      </c>
      <c r="E711" t="s">
        <v>2247</v>
      </c>
      <c r="F711" t="s">
        <v>2012</v>
      </c>
      <c r="G711" t="s">
        <v>115</v>
      </c>
      <c r="H711" t="s">
        <v>2250</v>
      </c>
      <c r="I711" t="s">
        <v>2251</v>
      </c>
      <c r="J711" t="s">
        <v>28</v>
      </c>
      <c r="M711" s="3" t="s">
        <v>52</v>
      </c>
    </row>
    <row r="712" spans="1:15" x14ac:dyDescent="0.25">
      <c r="A712" t="s">
        <v>1902</v>
      </c>
      <c r="B712" t="s">
        <v>1902</v>
      </c>
      <c r="C712" t="s">
        <v>2246</v>
      </c>
      <c r="D712" t="s">
        <v>1101</v>
      </c>
      <c r="E712" t="s">
        <v>2247</v>
      </c>
      <c r="F712" t="s">
        <v>2012</v>
      </c>
      <c r="G712" t="s">
        <v>115</v>
      </c>
      <c r="H712" t="s">
        <v>2252</v>
      </c>
      <c r="I712" t="s">
        <v>2253</v>
      </c>
      <c r="J712" t="s">
        <v>28</v>
      </c>
      <c r="M712" s="3" t="s">
        <v>52</v>
      </c>
    </row>
    <row r="713" spans="1:15" x14ac:dyDescent="0.25">
      <c r="A713" t="s">
        <v>1902</v>
      </c>
      <c r="B713" t="s">
        <v>1902</v>
      </c>
      <c r="C713" t="s">
        <v>2246</v>
      </c>
      <c r="D713" t="s">
        <v>1101</v>
      </c>
      <c r="E713" t="s">
        <v>2247</v>
      </c>
      <c r="F713" t="s">
        <v>2012</v>
      </c>
      <c r="G713" t="s">
        <v>115</v>
      </c>
      <c r="H713" t="s">
        <v>2254</v>
      </c>
      <c r="I713" t="s">
        <v>2255</v>
      </c>
      <c r="J713" t="s">
        <v>28</v>
      </c>
      <c r="M713" s="3" t="s">
        <v>52</v>
      </c>
    </row>
    <row r="714" spans="1:15" x14ac:dyDescent="0.25">
      <c r="A714" t="s">
        <v>1902</v>
      </c>
      <c r="B714" t="s">
        <v>1902</v>
      </c>
      <c r="C714" t="s">
        <v>2246</v>
      </c>
      <c r="D714" t="s">
        <v>1101</v>
      </c>
      <c r="E714" t="s">
        <v>2247</v>
      </c>
      <c r="F714" t="s">
        <v>2012</v>
      </c>
      <c r="G714" t="s">
        <v>115</v>
      </c>
      <c r="H714" t="s">
        <v>2256</v>
      </c>
      <c r="I714" t="s">
        <v>2257</v>
      </c>
      <c r="J714" t="s">
        <v>28</v>
      </c>
      <c r="M714" s="3" t="s">
        <v>52</v>
      </c>
    </row>
    <row r="715" spans="1:15" x14ac:dyDescent="0.25">
      <c r="A715" t="s">
        <v>1902</v>
      </c>
      <c r="B715" t="s">
        <v>1902</v>
      </c>
      <c r="C715" t="s">
        <v>2258</v>
      </c>
      <c r="D715" t="s">
        <v>1101</v>
      </c>
      <c r="E715" t="s">
        <v>2259</v>
      </c>
      <c r="F715" t="s">
        <v>2012</v>
      </c>
      <c r="G715" t="s">
        <v>1950</v>
      </c>
      <c r="H715" t="s">
        <v>2260</v>
      </c>
      <c r="I715" t="s">
        <v>2261</v>
      </c>
      <c r="J715" t="s">
        <v>28</v>
      </c>
      <c r="L715" t="s">
        <v>52</v>
      </c>
      <c r="M715" s="3" t="s">
        <v>52</v>
      </c>
      <c r="O715" t="s">
        <v>970</v>
      </c>
    </row>
    <row r="716" spans="1:15" x14ac:dyDescent="0.25">
      <c r="A716" t="s">
        <v>1902</v>
      </c>
      <c r="B716" t="s">
        <v>1902</v>
      </c>
      <c r="C716" t="s">
        <v>2258</v>
      </c>
      <c r="D716" t="s">
        <v>1101</v>
      </c>
      <c r="E716" t="s">
        <v>2259</v>
      </c>
      <c r="F716" t="s">
        <v>2012</v>
      </c>
      <c r="G716" t="s">
        <v>1950</v>
      </c>
      <c r="H716" t="s">
        <v>2262</v>
      </c>
      <c r="I716" t="s">
        <v>2263</v>
      </c>
      <c r="J716" t="s">
        <v>28</v>
      </c>
      <c r="L716" t="s">
        <v>52</v>
      </c>
      <c r="M716" s="3" t="s">
        <v>52</v>
      </c>
      <c r="O716" t="s">
        <v>970</v>
      </c>
    </row>
    <row r="717" spans="1:15" x14ac:dyDescent="0.25">
      <c r="A717" t="s">
        <v>1902</v>
      </c>
      <c r="B717" t="s">
        <v>1902</v>
      </c>
      <c r="C717" t="s">
        <v>2258</v>
      </c>
      <c r="D717" t="s">
        <v>1101</v>
      </c>
      <c r="E717" t="s">
        <v>2259</v>
      </c>
      <c r="F717" t="s">
        <v>2012</v>
      </c>
      <c r="G717" t="s">
        <v>1950</v>
      </c>
      <c r="H717" t="s">
        <v>2264</v>
      </c>
      <c r="I717" t="s">
        <v>2265</v>
      </c>
      <c r="J717" t="s">
        <v>28</v>
      </c>
      <c r="L717" t="s">
        <v>52</v>
      </c>
      <c r="M717" s="3" t="s">
        <v>52</v>
      </c>
      <c r="O717" t="s">
        <v>970</v>
      </c>
    </row>
    <row r="718" spans="1:15" x14ac:dyDescent="0.25">
      <c r="A718" t="s">
        <v>1902</v>
      </c>
      <c r="B718" t="s">
        <v>1902</v>
      </c>
      <c r="C718" t="s">
        <v>2258</v>
      </c>
      <c r="D718" t="s">
        <v>1101</v>
      </c>
      <c r="E718" t="s">
        <v>2259</v>
      </c>
      <c r="F718" t="s">
        <v>2012</v>
      </c>
      <c r="G718" t="s">
        <v>1950</v>
      </c>
      <c r="H718" t="s">
        <v>2266</v>
      </c>
      <c r="I718" t="s">
        <v>2267</v>
      </c>
      <c r="J718" t="s">
        <v>28</v>
      </c>
      <c r="L718" t="s">
        <v>52</v>
      </c>
      <c r="M718" s="3" t="s">
        <v>52</v>
      </c>
      <c r="O718" t="s">
        <v>970</v>
      </c>
    </row>
    <row r="719" spans="1:15" x14ac:dyDescent="0.25">
      <c r="A719" t="s">
        <v>1902</v>
      </c>
      <c r="B719" t="s">
        <v>1902</v>
      </c>
      <c r="C719" t="s">
        <v>2258</v>
      </c>
      <c r="D719" t="s">
        <v>1101</v>
      </c>
      <c r="E719" t="s">
        <v>2259</v>
      </c>
      <c r="F719" t="s">
        <v>2012</v>
      </c>
      <c r="G719" t="s">
        <v>1950</v>
      </c>
      <c r="H719" t="s">
        <v>2268</v>
      </c>
      <c r="I719" t="s">
        <v>2269</v>
      </c>
      <c r="J719" t="s">
        <v>28</v>
      </c>
      <c r="L719" t="s">
        <v>52</v>
      </c>
      <c r="M719" s="3" t="s">
        <v>52</v>
      </c>
      <c r="O719" t="s">
        <v>970</v>
      </c>
    </row>
    <row r="720" spans="1:15" x14ac:dyDescent="0.25">
      <c r="A720" t="s">
        <v>1902</v>
      </c>
      <c r="B720" t="s">
        <v>1902</v>
      </c>
      <c r="C720" t="s">
        <v>2270</v>
      </c>
      <c r="D720" t="s">
        <v>1187</v>
      </c>
      <c r="E720" t="s">
        <v>2271</v>
      </c>
      <c r="F720" t="s">
        <v>2012</v>
      </c>
      <c r="G720" t="s">
        <v>115</v>
      </c>
      <c r="H720" t="s">
        <v>2272</v>
      </c>
      <c r="I720" t="s">
        <v>2273</v>
      </c>
      <c r="J720" t="s">
        <v>28</v>
      </c>
      <c r="L720" t="s">
        <v>623</v>
      </c>
      <c r="M720" s="6" t="s">
        <v>373</v>
      </c>
      <c r="O720" t="s">
        <v>2001</v>
      </c>
    </row>
    <row r="721" spans="1:19" x14ac:dyDescent="0.25">
      <c r="A721" t="s">
        <v>1902</v>
      </c>
      <c r="B721" t="s">
        <v>1902</v>
      </c>
      <c r="C721" t="s">
        <v>2270</v>
      </c>
      <c r="D721" t="s">
        <v>1187</v>
      </c>
      <c r="E721" t="s">
        <v>2271</v>
      </c>
      <c r="F721" t="s">
        <v>2012</v>
      </c>
      <c r="G721" t="s">
        <v>115</v>
      </c>
      <c r="H721" t="s">
        <v>2274</v>
      </c>
      <c r="I721" t="s">
        <v>2275</v>
      </c>
      <c r="J721" t="s">
        <v>28</v>
      </c>
      <c r="L721" t="s">
        <v>623</v>
      </c>
      <c r="M721" s="6" t="s">
        <v>373</v>
      </c>
      <c r="O721" t="s">
        <v>2001</v>
      </c>
    </row>
    <row r="722" spans="1:19" x14ac:dyDescent="0.25">
      <c r="A722" t="s">
        <v>1902</v>
      </c>
      <c r="B722" t="s">
        <v>1902</v>
      </c>
      <c r="C722" t="s">
        <v>2276</v>
      </c>
      <c r="D722" t="s">
        <v>1101</v>
      </c>
      <c r="E722" t="s">
        <v>2277</v>
      </c>
      <c r="F722" t="s">
        <v>2012</v>
      </c>
      <c r="G722" t="s">
        <v>756</v>
      </c>
      <c r="H722" t="s">
        <v>2278</v>
      </c>
      <c r="I722" t="s">
        <v>2279</v>
      </c>
      <c r="J722" t="s">
        <v>28</v>
      </c>
      <c r="L722" t="s">
        <v>623</v>
      </c>
      <c r="M722" s="6" t="s">
        <v>373</v>
      </c>
      <c r="O722" t="s">
        <v>2001</v>
      </c>
    </row>
    <row r="723" spans="1:19" x14ac:dyDescent="0.25">
      <c r="A723" t="s">
        <v>1902</v>
      </c>
      <c r="B723" t="s">
        <v>1902</v>
      </c>
      <c r="C723" t="s">
        <v>2276</v>
      </c>
      <c r="D723" t="s">
        <v>1101</v>
      </c>
      <c r="E723" t="s">
        <v>2277</v>
      </c>
      <c r="F723" t="s">
        <v>2012</v>
      </c>
      <c r="G723" t="s">
        <v>756</v>
      </c>
      <c r="H723" t="s">
        <v>2280</v>
      </c>
      <c r="I723" t="s">
        <v>2281</v>
      </c>
      <c r="J723" t="s">
        <v>28</v>
      </c>
      <c r="L723" t="s">
        <v>623</v>
      </c>
      <c r="M723" s="6" t="s">
        <v>373</v>
      </c>
      <c r="O723" t="s">
        <v>2001</v>
      </c>
    </row>
    <row r="724" spans="1:19" x14ac:dyDescent="0.25">
      <c r="A724" t="s">
        <v>1902</v>
      </c>
      <c r="B724" t="s">
        <v>1902</v>
      </c>
      <c r="C724" t="s">
        <v>2276</v>
      </c>
      <c r="D724" t="s">
        <v>1101</v>
      </c>
      <c r="E724" t="s">
        <v>2277</v>
      </c>
      <c r="F724" t="s">
        <v>2012</v>
      </c>
      <c r="G724" t="s">
        <v>756</v>
      </c>
      <c r="H724" t="s">
        <v>2282</v>
      </c>
      <c r="I724" t="s">
        <v>2283</v>
      </c>
      <c r="J724" t="s">
        <v>28</v>
      </c>
      <c r="L724" t="s">
        <v>623</v>
      </c>
      <c r="M724" s="6" t="s">
        <v>373</v>
      </c>
      <c r="O724" t="s">
        <v>2001</v>
      </c>
    </row>
    <row r="725" spans="1:19" x14ac:dyDescent="0.25">
      <c r="A725" t="s">
        <v>1902</v>
      </c>
      <c r="B725" t="s">
        <v>1902</v>
      </c>
      <c r="C725" t="s">
        <v>2276</v>
      </c>
      <c r="D725" t="s">
        <v>1101</v>
      </c>
      <c r="E725" t="s">
        <v>2277</v>
      </c>
      <c r="F725" t="s">
        <v>2012</v>
      </c>
      <c r="G725" t="s">
        <v>756</v>
      </c>
      <c r="H725" t="s">
        <v>2284</v>
      </c>
      <c r="I725" t="s">
        <v>2285</v>
      </c>
      <c r="J725" t="s">
        <v>28</v>
      </c>
      <c r="L725" t="s">
        <v>623</v>
      </c>
      <c r="M725" s="6" t="s">
        <v>373</v>
      </c>
      <c r="O725" t="s">
        <v>2001</v>
      </c>
    </row>
    <row r="726" spans="1:19" x14ac:dyDescent="0.25">
      <c r="A726" t="s">
        <v>2286</v>
      </c>
      <c r="B726" t="s">
        <v>2286</v>
      </c>
      <c r="E726" t="s">
        <v>2287</v>
      </c>
      <c r="F726" t="s">
        <v>2288</v>
      </c>
      <c r="H726" t="s">
        <v>2289</v>
      </c>
      <c r="I726" t="s">
        <v>2290</v>
      </c>
      <c r="J726" t="s">
        <v>28</v>
      </c>
      <c r="K726" t="s">
        <v>2291</v>
      </c>
      <c r="L726" t="s">
        <v>30</v>
      </c>
      <c r="M726" s="2" t="s">
        <v>30</v>
      </c>
      <c r="O726" t="s">
        <v>2292</v>
      </c>
      <c r="Q726" t="s">
        <v>2293</v>
      </c>
      <c r="R726" t="s">
        <v>2294</v>
      </c>
      <c r="S726" t="s">
        <v>2295</v>
      </c>
    </row>
    <row r="727" spans="1:19" x14ac:dyDescent="0.25">
      <c r="A727" t="s">
        <v>2286</v>
      </c>
      <c r="B727" t="s">
        <v>2286</v>
      </c>
      <c r="E727" t="s">
        <v>2287</v>
      </c>
      <c r="F727" t="s">
        <v>2288</v>
      </c>
      <c r="H727" t="s">
        <v>2296</v>
      </c>
      <c r="I727" t="s">
        <v>2297</v>
      </c>
      <c r="J727" t="s">
        <v>28</v>
      </c>
      <c r="K727" t="s">
        <v>2298</v>
      </c>
      <c r="L727" t="s">
        <v>30</v>
      </c>
      <c r="M727" s="2" t="s">
        <v>30</v>
      </c>
      <c r="O727" t="s">
        <v>2299</v>
      </c>
    </row>
    <row r="728" spans="1:19" x14ac:dyDescent="0.25">
      <c r="A728" t="s">
        <v>2286</v>
      </c>
      <c r="B728" t="s">
        <v>2286</v>
      </c>
      <c r="E728" t="s">
        <v>2287</v>
      </c>
      <c r="F728" t="s">
        <v>2288</v>
      </c>
      <c r="H728" t="s">
        <v>2300</v>
      </c>
      <c r="I728" t="s">
        <v>2301</v>
      </c>
      <c r="J728" t="s">
        <v>28</v>
      </c>
      <c r="K728" t="s">
        <v>38</v>
      </c>
      <c r="L728" t="s">
        <v>30</v>
      </c>
      <c r="M728" s="2" t="s">
        <v>30</v>
      </c>
      <c r="N728" t="s">
        <v>59</v>
      </c>
      <c r="O728" t="s">
        <v>2302</v>
      </c>
    </row>
    <row r="729" spans="1:19" x14ac:dyDescent="0.25">
      <c r="A729" t="s">
        <v>2286</v>
      </c>
      <c r="B729" t="s">
        <v>2286</v>
      </c>
      <c r="E729" t="s">
        <v>2287</v>
      </c>
      <c r="F729" t="s">
        <v>2288</v>
      </c>
      <c r="H729" t="s">
        <v>2303</v>
      </c>
      <c r="I729" t="s">
        <v>2304</v>
      </c>
      <c r="J729" t="s">
        <v>126</v>
      </c>
      <c r="K729" t="s">
        <v>1106</v>
      </c>
      <c r="L729" t="s">
        <v>30</v>
      </c>
      <c r="M729" s="2" t="s">
        <v>30</v>
      </c>
      <c r="O729" t="s">
        <v>2305</v>
      </c>
      <c r="R729" t="s">
        <v>2306</v>
      </c>
    </row>
    <row r="730" spans="1:19" x14ac:dyDescent="0.25">
      <c r="A730" t="s">
        <v>2286</v>
      </c>
      <c r="B730" t="s">
        <v>2286</v>
      </c>
      <c r="E730" t="s">
        <v>2287</v>
      </c>
      <c r="F730" t="s">
        <v>2288</v>
      </c>
      <c r="H730" t="s">
        <v>2307</v>
      </c>
      <c r="I730" t="s">
        <v>2308</v>
      </c>
      <c r="J730" t="s">
        <v>28</v>
      </c>
      <c r="K730" t="s">
        <v>152</v>
      </c>
      <c r="L730" t="s">
        <v>30</v>
      </c>
      <c r="M730" s="2" t="s">
        <v>30</v>
      </c>
      <c r="O730" t="s">
        <v>2309</v>
      </c>
      <c r="R730" t="s">
        <v>2310</v>
      </c>
    </row>
    <row r="731" spans="1:19" x14ac:dyDescent="0.25">
      <c r="A731" t="s">
        <v>2286</v>
      </c>
      <c r="B731" t="s">
        <v>2286</v>
      </c>
      <c r="E731" t="s">
        <v>2287</v>
      </c>
      <c r="F731" t="s">
        <v>2288</v>
      </c>
      <c r="H731" t="s">
        <v>2311</v>
      </c>
      <c r="I731" t="s">
        <v>2312</v>
      </c>
      <c r="J731" t="s">
        <v>126</v>
      </c>
      <c r="K731" t="s">
        <v>2313</v>
      </c>
      <c r="L731" t="s">
        <v>30</v>
      </c>
      <c r="M731" s="2" t="s">
        <v>30</v>
      </c>
      <c r="O731" t="s">
        <v>2314</v>
      </c>
    </row>
    <row r="732" spans="1:19" x14ac:dyDescent="0.25">
      <c r="A732" t="s">
        <v>2286</v>
      </c>
      <c r="B732" t="s">
        <v>2286</v>
      </c>
      <c r="E732" t="s">
        <v>2287</v>
      </c>
      <c r="F732" t="s">
        <v>2288</v>
      </c>
      <c r="H732" t="s">
        <v>2315</v>
      </c>
      <c r="I732" t="s">
        <v>2316</v>
      </c>
      <c r="J732" t="s">
        <v>126</v>
      </c>
      <c r="K732" t="s">
        <v>2317</v>
      </c>
      <c r="L732" t="s">
        <v>30</v>
      </c>
      <c r="M732" s="2" t="s">
        <v>30</v>
      </c>
      <c r="O732" t="s">
        <v>2318</v>
      </c>
      <c r="P732" t="s">
        <v>126</v>
      </c>
      <c r="Q732" t="s">
        <v>2319</v>
      </c>
      <c r="R732" t="s">
        <v>2320</v>
      </c>
    </row>
    <row r="733" spans="1:19" x14ac:dyDescent="0.25">
      <c r="A733" t="s">
        <v>2286</v>
      </c>
      <c r="B733" t="s">
        <v>2286</v>
      </c>
      <c r="E733" t="s">
        <v>2287</v>
      </c>
      <c r="F733" t="s">
        <v>2288</v>
      </c>
      <c r="H733" t="s">
        <v>2321</v>
      </c>
      <c r="I733" t="s">
        <v>2322</v>
      </c>
      <c r="J733" t="s">
        <v>126</v>
      </c>
      <c r="K733" t="s">
        <v>2320</v>
      </c>
      <c r="L733" t="s">
        <v>30</v>
      </c>
      <c r="M733" s="2" t="s">
        <v>30</v>
      </c>
      <c r="O733" t="s">
        <v>2323</v>
      </c>
      <c r="Q733" t="s">
        <v>2324</v>
      </c>
      <c r="R733" t="s">
        <v>2320</v>
      </c>
    </row>
    <row r="734" spans="1:19" x14ac:dyDescent="0.25">
      <c r="A734" t="s">
        <v>2286</v>
      </c>
      <c r="B734" t="s">
        <v>2286</v>
      </c>
      <c r="E734" t="s">
        <v>2287</v>
      </c>
      <c r="F734" t="s">
        <v>2288</v>
      </c>
      <c r="H734" t="s">
        <v>2325</v>
      </c>
      <c r="I734" t="s">
        <v>2326</v>
      </c>
      <c r="J734" t="s">
        <v>126</v>
      </c>
      <c r="K734" t="s">
        <v>2317</v>
      </c>
      <c r="L734" t="s">
        <v>30</v>
      </c>
      <c r="M734" s="2" t="s">
        <v>30</v>
      </c>
      <c r="O734" t="s">
        <v>2327</v>
      </c>
      <c r="Q734" t="s">
        <v>2328</v>
      </c>
      <c r="R734" t="s">
        <v>2320</v>
      </c>
    </row>
    <row r="735" spans="1:19" x14ac:dyDescent="0.25">
      <c r="A735" t="s">
        <v>2286</v>
      </c>
      <c r="B735" t="s">
        <v>2286</v>
      </c>
      <c r="C735" t="s">
        <v>2329</v>
      </c>
      <c r="E735" t="s">
        <v>2330</v>
      </c>
      <c r="F735" t="s">
        <v>2176</v>
      </c>
      <c r="H735" t="s">
        <v>2331</v>
      </c>
      <c r="I735" t="s">
        <v>2332</v>
      </c>
      <c r="J735" t="s">
        <v>28</v>
      </c>
      <c r="K735" t="s">
        <v>2298</v>
      </c>
      <c r="L735" t="s">
        <v>623</v>
      </c>
      <c r="M735" s="6" t="s">
        <v>373</v>
      </c>
      <c r="O735" t="s">
        <v>2334</v>
      </c>
    </row>
    <row r="736" spans="1:19" x14ac:dyDescent="0.25">
      <c r="A736" t="s">
        <v>2286</v>
      </c>
      <c r="B736" t="s">
        <v>2286</v>
      </c>
      <c r="C736" t="s">
        <v>2329</v>
      </c>
      <c r="E736" t="s">
        <v>2330</v>
      </c>
      <c r="F736" t="s">
        <v>2176</v>
      </c>
      <c r="H736" t="s">
        <v>2335</v>
      </c>
      <c r="I736" t="s">
        <v>2336</v>
      </c>
      <c r="J736" t="s">
        <v>28</v>
      </c>
      <c r="K736" t="s">
        <v>2337</v>
      </c>
      <c r="L736" t="s">
        <v>623</v>
      </c>
      <c r="M736" s="6" t="s">
        <v>373</v>
      </c>
      <c r="O736" t="s">
        <v>2334</v>
      </c>
    </row>
    <row r="737" spans="1:19" x14ac:dyDescent="0.25">
      <c r="A737" t="s">
        <v>2286</v>
      </c>
      <c r="B737" t="s">
        <v>2286</v>
      </c>
      <c r="C737" t="s">
        <v>2329</v>
      </c>
      <c r="E737" t="s">
        <v>2330</v>
      </c>
      <c r="F737" t="s">
        <v>2176</v>
      </c>
      <c r="H737" t="s">
        <v>2338</v>
      </c>
      <c r="I737" t="s">
        <v>2339</v>
      </c>
      <c r="J737" t="s">
        <v>28</v>
      </c>
      <c r="K737" t="s">
        <v>2337</v>
      </c>
      <c r="L737" t="s">
        <v>623</v>
      </c>
      <c r="M737" s="6" t="s">
        <v>373</v>
      </c>
      <c r="O737" t="s">
        <v>2334</v>
      </c>
    </row>
    <row r="738" spans="1:19" x14ac:dyDescent="0.25">
      <c r="A738" t="s">
        <v>2286</v>
      </c>
      <c r="B738" t="s">
        <v>2286</v>
      </c>
      <c r="C738" t="s">
        <v>2329</v>
      </c>
      <c r="E738" t="s">
        <v>2330</v>
      </c>
      <c r="F738" t="s">
        <v>2176</v>
      </c>
      <c r="H738" t="s">
        <v>2340</v>
      </c>
      <c r="I738" t="s">
        <v>2341</v>
      </c>
      <c r="J738" t="s">
        <v>28</v>
      </c>
      <c r="K738" t="s">
        <v>2337</v>
      </c>
      <c r="L738" t="s">
        <v>623</v>
      </c>
      <c r="M738" s="6" t="s">
        <v>373</v>
      </c>
      <c r="O738" t="s">
        <v>2334</v>
      </c>
    </row>
    <row r="739" spans="1:19" x14ac:dyDescent="0.25">
      <c r="A739" t="s">
        <v>2286</v>
      </c>
      <c r="B739" t="s">
        <v>2286</v>
      </c>
      <c r="C739" t="s">
        <v>2329</v>
      </c>
      <c r="E739" t="s">
        <v>2330</v>
      </c>
      <c r="F739" t="s">
        <v>2176</v>
      </c>
      <c r="H739" t="s">
        <v>2342</v>
      </c>
      <c r="I739" t="s">
        <v>2343</v>
      </c>
      <c r="J739" t="s">
        <v>28</v>
      </c>
      <c r="K739" t="s">
        <v>2337</v>
      </c>
      <c r="L739" t="s">
        <v>623</v>
      </c>
      <c r="M739" s="6" t="s">
        <v>373</v>
      </c>
      <c r="O739" t="s">
        <v>2334</v>
      </c>
    </row>
    <row r="740" spans="1:19" x14ac:dyDescent="0.25">
      <c r="A740" t="s">
        <v>2286</v>
      </c>
      <c r="B740" t="s">
        <v>2286</v>
      </c>
      <c r="C740" t="s">
        <v>2329</v>
      </c>
      <c r="E740" t="s">
        <v>2330</v>
      </c>
      <c r="F740" t="s">
        <v>2176</v>
      </c>
      <c r="H740" t="s">
        <v>2344</v>
      </c>
      <c r="I740" t="s">
        <v>2345</v>
      </c>
      <c r="J740" t="s">
        <v>28</v>
      </c>
      <c r="K740" t="s">
        <v>2337</v>
      </c>
      <c r="L740" t="s">
        <v>623</v>
      </c>
      <c r="M740" s="6" t="s">
        <v>373</v>
      </c>
      <c r="O740" t="s">
        <v>2334</v>
      </c>
    </row>
    <row r="741" spans="1:19" x14ac:dyDescent="0.25">
      <c r="A741" t="s">
        <v>2286</v>
      </c>
      <c r="B741" t="s">
        <v>2286</v>
      </c>
      <c r="C741" t="s">
        <v>2346</v>
      </c>
      <c r="E741" t="s">
        <v>2347</v>
      </c>
      <c r="F741" t="s">
        <v>2176</v>
      </c>
      <c r="H741" t="s">
        <v>2348</v>
      </c>
      <c r="I741" t="s">
        <v>2349</v>
      </c>
      <c r="J741" t="s">
        <v>28</v>
      </c>
      <c r="K741" t="s">
        <v>2350</v>
      </c>
      <c r="L741" t="s">
        <v>30</v>
      </c>
      <c r="M741" s="2" t="s">
        <v>30</v>
      </c>
      <c r="Q741" t="s">
        <v>2351</v>
      </c>
    </row>
    <row r="742" spans="1:19" x14ac:dyDescent="0.25">
      <c r="A742" t="s">
        <v>2286</v>
      </c>
      <c r="B742" t="s">
        <v>2286</v>
      </c>
      <c r="C742" t="s">
        <v>2346</v>
      </c>
      <c r="E742" t="s">
        <v>2347</v>
      </c>
      <c r="F742" t="s">
        <v>2176</v>
      </c>
      <c r="H742" t="s">
        <v>2352</v>
      </c>
      <c r="I742" t="s">
        <v>2353</v>
      </c>
      <c r="J742" t="s">
        <v>28</v>
      </c>
      <c r="K742" t="s">
        <v>2354</v>
      </c>
      <c r="L742" t="s">
        <v>30</v>
      </c>
      <c r="M742" s="2" t="s">
        <v>30</v>
      </c>
      <c r="O742" t="s">
        <v>2355</v>
      </c>
      <c r="Q742" t="s">
        <v>2351</v>
      </c>
    </row>
    <row r="743" spans="1:19" x14ac:dyDescent="0.25">
      <c r="A743" t="s">
        <v>2286</v>
      </c>
      <c r="B743" t="s">
        <v>2286</v>
      </c>
      <c r="C743" t="s">
        <v>2346</v>
      </c>
      <c r="E743" t="s">
        <v>2347</v>
      </c>
      <c r="F743" t="s">
        <v>2176</v>
      </c>
      <c r="H743" t="s">
        <v>2356</v>
      </c>
      <c r="I743" t="s">
        <v>2357</v>
      </c>
      <c r="J743" t="s">
        <v>28</v>
      </c>
      <c r="K743" t="s">
        <v>2298</v>
      </c>
      <c r="L743" t="s">
        <v>30</v>
      </c>
      <c r="M743" s="2" t="s">
        <v>30</v>
      </c>
      <c r="Q743" t="s">
        <v>2351</v>
      </c>
    </row>
    <row r="744" spans="1:19" x14ac:dyDescent="0.25">
      <c r="A744" t="s">
        <v>2286</v>
      </c>
      <c r="B744" t="s">
        <v>2286</v>
      </c>
      <c r="C744" t="s">
        <v>2346</v>
      </c>
      <c r="E744" t="s">
        <v>2347</v>
      </c>
      <c r="F744" t="s">
        <v>2176</v>
      </c>
      <c r="H744" t="s">
        <v>2358</v>
      </c>
      <c r="I744" t="s">
        <v>2359</v>
      </c>
      <c r="J744" t="s">
        <v>28</v>
      </c>
      <c r="K744" t="s">
        <v>2298</v>
      </c>
      <c r="L744" t="s">
        <v>30</v>
      </c>
      <c r="M744" s="2" t="s">
        <v>30</v>
      </c>
      <c r="O744" t="s">
        <v>2360</v>
      </c>
      <c r="Q744" t="s">
        <v>2351</v>
      </c>
    </row>
    <row r="745" spans="1:19" x14ac:dyDescent="0.25">
      <c r="A745" t="s">
        <v>2286</v>
      </c>
      <c r="B745" t="s">
        <v>2286</v>
      </c>
      <c r="C745" t="s">
        <v>2346</v>
      </c>
      <c r="E745" t="s">
        <v>2347</v>
      </c>
      <c r="F745" t="s">
        <v>2176</v>
      </c>
      <c r="H745" t="s">
        <v>2361</v>
      </c>
      <c r="I745" t="s">
        <v>2362</v>
      </c>
      <c r="J745" t="s">
        <v>28</v>
      </c>
      <c r="K745" t="s">
        <v>2298</v>
      </c>
      <c r="L745" t="s">
        <v>30</v>
      </c>
      <c r="M745" s="2" t="s">
        <v>30</v>
      </c>
      <c r="Q745" t="s">
        <v>2351</v>
      </c>
    </row>
    <row r="746" spans="1:19" x14ac:dyDescent="0.25">
      <c r="A746" t="s">
        <v>2286</v>
      </c>
      <c r="B746" t="s">
        <v>2286</v>
      </c>
      <c r="C746" t="s">
        <v>2346</v>
      </c>
      <c r="E746" t="s">
        <v>2347</v>
      </c>
      <c r="F746" t="s">
        <v>2176</v>
      </c>
      <c r="H746" t="s">
        <v>2363</v>
      </c>
      <c r="I746" t="s">
        <v>2364</v>
      </c>
      <c r="J746" t="s">
        <v>28</v>
      </c>
      <c r="K746" t="s">
        <v>2298</v>
      </c>
      <c r="L746" t="s">
        <v>30</v>
      </c>
      <c r="M746" s="2" t="s">
        <v>30</v>
      </c>
      <c r="Q746" t="s">
        <v>2351</v>
      </c>
    </row>
    <row r="747" spans="1:19" x14ac:dyDescent="0.25">
      <c r="A747" t="s">
        <v>2286</v>
      </c>
      <c r="B747" t="s">
        <v>2286</v>
      </c>
      <c r="C747" t="s">
        <v>2365</v>
      </c>
      <c r="E747" t="s">
        <v>2366</v>
      </c>
      <c r="F747" t="s">
        <v>2176</v>
      </c>
      <c r="H747" t="s">
        <v>2367</v>
      </c>
      <c r="I747" t="s">
        <v>2368</v>
      </c>
      <c r="J747" t="s">
        <v>28</v>
      </c>
      <c r="K747" t="s">
        <v>2313</v>
      </c>
      <c r="L747" t="s">
        <v>623</v>
      </c>
      <c r="M747" s="6" t="s">
        <v>373</v>
      </c>
      <c r="O747" t="s">
        <v>2334</v>
      </c>
      <c r="R747" t="s">
        <v>2369</v>
      </c>
      <c r="S747" t="s">
        <v>2370</v>
      </c>
    </row>
    <row r="748" spans="1:19" x14ac:dyDescent="0.25">
      <c r="A748" t="s">
        <v>2286</v>
      </c>
      <c r="B748" t="s">
        <v>2286</v>
      </c>
      <c r="C748" t="s">
        <v>2365</v>
      </c>
      <c r="E748" t="s">
        <v>2366</v>
      </c>
      <c r="F748" t="s">
        <v>2176</v>
      </c>
      <c r="H748" t="s">
        <v>2371</v>
      </c>
      <c r="I748" t="s">
        <v>2372</v>
      </c>
      <c r="J748" t="s">
        <v>28</v>
      </c>
      <c r="K748" t="s">
        <v>2313</v>
      </c>
      <c r="L748" t="s">
        <v>623</v>
      </c>
      <c r="M748" s="6" t="s">
        <v>373</v>
      </c>
      <c r="O748" t="s">
        <v>2334</v>
      </c>
      <c r="R748" t="s">
        <v>2369</v>
      </c>
      <c r="S748" t="s">
        <v>2370</v>
      </c>
    </row>
    <row r="749" spans="1:19" x14ac:dyDescent="0.25">
      <c r="A749" t="s">
        <v>2286</v>
      </c>
      <c r="B749" t="s">
        <v>2286</v>
      </c>
      <c r="C749" t="s">
        <v>2373</v>
      </c>
      <c r="E749" t="s">
        <v>2374</v>
      </c>
      <c r="F749" t="s">
        <v>2176</v>
      </c>
      <c r="H749" t="s">
        <v>2375</v>
      </c>
      <c r="I749" t="s">
        <v>2376</v>
      </c>
      <c r="J749" t="s">
        <v>28</v>
      </c>
      <c r="K749" t="s">
        <v>2313</v>
      </c>
      <c r="L749" t="s">
        <v>623</v>
      </c>
      <c r="M749" s="6" t="s">
        <v>373</v>
      </c>
      <c r="O749" t="s">
        <v>2334</v>
      </c>
      <c r="R749" t="s">
        <v>2369</v>
      </c>
      <c r="S749" t="s">
        <v>2370</v>
      </c>
    </row>
    <row r="750" spans="1:19" x14ac:dyDescent="0.25">
      <c r="A750" t="s">
        <v>2286</v>
      </c>
      <c r="B750" t="s">
        <v>2286</v>
      </c>
      <c r="C750" t="s">
        <v>2373</v>
      </c>
      <c r="E750" t="s">
        <v>2374</v>
      </c>
      <c r="F750" t="s">
        <v>2176</v>
      </c>
      <c r="H750" t="s">
        <v>2377</v>
      </c>
      <c r="I750" t="s">
        <v>2378</v>
      </c>
      <c r="J750" t="s">
        <v>28</v>
      </c>
      <c r="K750" t="s">
        <v>2313</v>
      </c>
      <c r="L750" t="s">
        <v>623</v>
      </c>
      <c r="M750" s="6" t="s">
        <v>373</v>
      </c>
      <c r="O750" t="s">
        <v>2334</v>
      </c>
      <c r="R750" t="s">
        <v>2369</v>
      </c>
      <c r="S750" t="s">
        <v>2370</v>
      </c>
    </row>
    <row r="751" spans="1:19" x14ac:dyDescent="0.25">
      <c r="A751" t="s">
        <v>2286</v>
      </c>
      <c r="B751" t="s">
        <v>2286</v>
      </c>
      <c r="C751" t="s">
        <v>2373</v>
      </c>
      <c r="E751" t="s">
        <v>2374</v>
      </c>
      <c r="F751" t="s">
        <v>2176</v>
      </c>
      <c r="H751" t="s">
        <v>2379</v>
      </c>
      <c r="I751" t="s">
        <v>2380</v>
      </c>
      <c r="J751" t="s">
        <v>28</v>
      </c>
      <c r="L751" t="s">
        <v>623</v>
      </c>
      <c r="M751" s="6" t="s">
        <v>373</v>
      </c>
      <c r="O751" t="s">
        <v>2334</v>
      </c>
    </row>
    <row r="752" spans="1:19" x14ac:dyDescent="0.25">
      <c r="A752" t="s">
        <v>2286</v>
      </c>
      <c r="B752" t="s">
        <v>2286</v>
      </c>
      <c r="C752" t="s">
        <v>2373</v>
      </c>
      <c r="E752" t="s">
        <v>2374</v>
      </c>
      <c r="F752" t="s">
        <v>2176</v>
      </c>
      <c r="H752" t="s">
        <v>2381</v>
      </c>
      <c r="I752" t="s">
        <v>2382</v>
      </c>
      <c r="J752" t="s">
        <v>28</v>
      </c>
      <c r="L752" t="s">
        <v>623</v>
      </c>
      <c r="M752" s="6" t="s">
        <v>373</v>
      </c>
      <c r="O752" t="s">
        <v>2334</v>
      </c>
    </row>
    <row r="753" spans="1:19" x14ac:dyDescent="0.25">
      <c r="A753" t="s">
        <v>2286</v>
      </c>
      <c r="B753" t="s">
        <v>2286</v>
      </c>
      <c r="C753" t="s">
        <v>2373</v>
      </c>
      <c r="E753" t="s">
        <v>2374</v>
      </c>
      <c r="F753" t="s">
        <v>2176</v>
      </c>
      <c r="H753" t="s">
        <v>2383</v>
      </c>
      <c r="I753" t="s">
        <v>2384</v>
      </c>
      <c r="J753" t="s">
        <v>28</v>
      </c>
      <c r="K753" t="s">
        <v>2320</v>
      </c>
      <c r="L753" t="s">
        <v>623</v>
      </c>
      <c r="M753" s="6" t="s">
        <v>373</v>
      </c>
      <c r="O753" t="s">
        <v>2334</v>
      </c>
      <c r="Q753" t="s">
        <v>2328</v>
      </c>
      <c r="R753" t="s">
        <v>2320</v>
      </c>
      <c r="S753" t="s">
        <v>2370</v>
      </c>
    </row>
    <row r="754" spans="1:19" x14ac:dyDescent="0.25">
      <c r="A754" t="s">
        <v>2286</v>
      </c>
      <c r="B754" t="s">
        <v>2286</v>
      </c>
      <c r="C754" t="s">
        <v>2373</v>
      </c>
      <c r="E754" t="s">
        <v>2374</v>
      </c>
      <c r="F754" t="s">
        <v>2176</v>
      </c>
      <c r="H754" t="s">
        <v>2385</v>
      </c>
      <c r="I754" t="s">
        <v>2386</v>
      </c>
      <c r="J754" t="s">
        <v>28</v>
      </c>
      <c r="L754" t="s">
        <v>623</v>
      </c>
      <c r="M754" s="6" t="s">
        <v>373</v>
      </c>
      <c r="O754" t="s">
        <v>2334</v>
      </c>
      <c r="R754" t="s">
        <v>2294</v>
      </c>
    </row>
    <row r="755" spans="1:19" x14ac:dyDescent="0.25">
      <c r="A755" t="s">
        <v>2286</v>
      </c>
      <c r="B755" t="s">
        <v>2286</v>
      </c>
      <c r="C755" t="s">
        <v>2373</v>
      </c>
      <c r="E755" t="s">
        <v>2374</v>
      </c>
      <c r="F755" t="s">
        <v>2176</v>
      </c>
      <c r="H755" t="s">
        <v>2387</v>
      </c>
      <c r="I755" t="s">
        <v>2388</v>
      </c>
      <c r="J755" t="s">
        <v>28</v>
      </c>
      <c r="K755" t="s">
        <v>2320</v>
      </c>
      <c r="L755" t="s">
        <v>623</v>
      </c>
      <c r="M755" s="6" t="s">
        <v>373</v>
      </c>
      <c r="O755" t="s">
        <v>2334</v>
      </c>
      <c r="Q755" t="s">
        <v>2389</v>
      </c>
      <c r="R755" t="s">
        <v>2320</v>
      </c>
      <c r="S755" t="s">
        <v>2370</v>
      </c>
    </row>
    <row r="756" spans="1:19" x14ac:dyDescent="0.25">
      <c r="A756" t="s">
        <v>2286</v>
      </c>
      <c r="B756" t="s">
        <v>2286</v>
      </c>
      <c r="C756" t="s">
        <v>2390</v>
      </c>
      <c r="E756" t="s">
        <v>2391</v>
      </c>
      <c r="F756" t="s">
        <v>2392</v>
      </c>
      <c r="H756" t="s">
        <v>2393</v>
      </c>
      <c r="I756" t="s">
        <v>2394</v>
      </c>
      <c r="J756" t="s">
        <v>28</v>
      </c>
      <c r="K756" t="s">
        <v>2395</v>
      </c>
      <c r="L756" t="s">
        <v>30</v>
      </c>
      <c r="M756" s="2" t="s">
        <v>30</v>
      </c>
    </row>
    <row r="757" spans="1:19" x14ac:dyDescent="0.25">
      <c r="A757" t="s">
        <v>2286</v>
      </c>
      <c r="B757" t="s">
        <v>2286</v>
      </c>
      <c r="C757" t="s">
        <v>2396</v>
      </c>
      <c r="E757" t="s">
        <v>2397</v>
      </c>
      <c r="F757" t="s">
        <v>2398</v>
      </c>
      <c r="H757" t="s">
        <v>2399</v>
      </c>
      <c r="I757" t="s">
        <v>2394</v>
      </c>
      <c r="J757" t="s">
        <v>28</v>
      </c>
      <c r="K757" t="s">
        <v>2395</v>
      </c>
      <c r="L757" t="s">
        <v>30</v>
      </c>
      <c r="M757" s="2" t="s">
        <v>30</v>
      </c>
    </row>
    <row r="758" spans="1:19" x14ac:dyDescent="0.25">
      <c r="A758" t="s">
        <v>2286</v>
      </c>
      <c r="B758" t="s">
        <v>2286</v>
      </c>
      <c r="C758" t="s">
        <v>2400</v>
      </c>
      <c r="E758" t="s">
        <v>2401</v>
      </c>
      <c r="F758" t="s">
        <v>2402</v>
      </c>
      <c r="H758" t="s">
        <v>2403</v>
      </c>
      <c r="I758" t="s">
        <v>2404</v>
      </c>
      <c r="J758" t="s">
        <v>28</v>
      </c>
      <c r="K758" t="s">
        <v>2405</v>
      </c>
      <c r="L758" t="s">
        <v>30</v>
      </c>
      <c r="M758" s="2" t="s">
        <v>30</v>
      </c>
      <c r="O758" t="s">
        <v>2406</v>
      </c>
      <c r="R758" t="s">
        <v>2407</v>
      </c>
      <c r="S758" t="s">
        <v>2408</v>
      </c>
    </row>
    <row r="759" spans="1:19" x14ac:dyDescent="0.25">
      <c r="A759" t="s">
        <v>2286</v>
      </c>
      <c r="B759" t="s">
        <v>2286</v>
      </c>
      <c r="C759" t="s">
        <v>2400</v>
      </c>
      <c r="E759" t="s">
        <v>2401</v>
      </c>
      <c r="F759" t="s">
        <v>2402</v>
      </c>
      <c r="H759" t="s">
        <v>2409</v>
      </c>
      <c r="I759" t="s">
        <v>2410</v>
      </c>
      <c r="J759" t="s">
        <v>28</v>
      </c>
      <c r="K759" t="s">
        <v>2405</v>
      </c>
      <c r="L759" t="s">
        <v>30</v>
      </c>
      <c r="M759" s="2" t="s">
        <v>30</v>
      </c>
      <c r="O759" t="s">
        <v>2406</v>
      </c>
      <c r="R759" t="s">
        <v>2407</v>
      </c>
      <c r="S759" t="s">
        <v>2408</v>
      </c>
    </row>
    <row r="760" spans="1:19" x14ac:dyDescent="0.25">
      <c r="A760" t="s">
        <v>2286</v>
      </c>
      <c r="B760" t="s">
        <v>2286</v>
      </c>
      <c r="C760" t="s">
        <v>2400</v>
      </c>
      <c r="E760" t="s">
        <v>2401</v>
      </c>
      <c r="F760" t="s">
        <v>2402</v>
      </c>
      <c r="H760" t="s">
        <v>2411</v>
      </c>
      <c r="I760" t="s">
        <v>2412</v>
      </c>
      <c r="J760" t="s">
        <v>28</v>
      </c>
      <c r="K760" t="s">
        <v>2354</v>
      </c>
      <c r="L760" t="s">
        <v>30</v>
      </c>
      <c r="M760" s="2" t="s">
        <v>30</v>
      </c>
      <c r="O760" t="s">
        <v>2413</v>
      </c>
      <c r="P760" t="s">
        <v>126</v>
      </c>
      <c r="Q760" t="s">
        <v>2414</v>
      </c>
      <c r="R760" t="s">
        <v>2415</v>
      </c>
      <c r="S760" t="s">
        <v>2416</v>
      </c>
    </row>
    <row r="761" spans="1:19" x14ac:dyDescent="0.25">
      <c r="A761" t="s">
        <v>2286</v>
      </c>
      <c r="B761" t="s">
        <v>2286</v>
      </c>
      <c r="C761" t="s">
        <v>2400</v>
      </c>
      <c r="E761" t="s">
        <v>2401</v>
      </c>
      <c r="F761" t="s">
        <v>2402</v>
      </c>
      <c r="H761" t="s">
        <v>2417</v>
      </c>
      <c r="I761" t="s">
        <v>2418</v>
      </c>
      <c r="J761" t="s">
        <v>28</v>
      </c>
      <c r="K761" t="s">
        <v>2405</v>
      </c>
      <c r="L761" t="s">
        <v>30</v>
      </c>
      <c r="M761" s="2" t="s">
        <v>30</v>
      </c>
      <c r="O761" t="s">
        <v>2406</v>
      </c>
      <c r="R761" t="s">
        <v>2407</v>
      </c>
      <c r="S761" t="s">
        <v>2416</v>
      </c>
    </row>
    <row r="762" spans="1:19" x14ac:dyDescent="0.25">
      <c r="A762" t="s">
        <v>2286</v>
      </c>
      <c r="B762" t="s">
        <v>2286</v>
      </c>
      <c r="C762" t="s">
        <v>2400</v>
      </c>
      <c r="E762" t="s">
        <v>2401</v>
      </c>
      <c r="F762" t="s">
        <v>2402</v>
      </c>
      <c r="H762" t="s">
        <v>2419</v>
      </c>
      <c r="I762" t="s">
        <v>2420</v>
      </c>
      <c r="J762" t="s">
        <v>28</v>
      </c>
      <c r="K762" t="s">
        <v>2405</v>
      </c>
      <c r="L762" t="s">
        <v>30</v>
      </c>
      <c r="M762" s="2" t="s">
        <v>30</v>
      </c>
      <c r="O762" t="s">
        <v>2406</v>
      </c>
      <c r="R762" t="s">
        <v>2407</v>
      </c>
      <c r="S762" t="s">
        <v>2416</v>
      </c>
    </row>
    <row r="763" spans="1:19" x14ac:dyDescent="0.25">
      <c r="A763" t="s">
        <v>2286</v>
      </c>
      <c r="B763" t="s">
        <v>2286</v>
      </c>
      <c r="C763" t="s">
        <v>2400</v>
      </c>
      <c r="E763" t="s">
        <v>2401</v>
      </c>
      <c r="F763" t="s">
        <v>2402</v>
      </c>
      <c r="H763" t="s">
        <v>2421</v>
      </c>
      <c r="I763" t="s">
        <v>2422</v>
      </c>
      <c r="J763" t="s">
        <v>28</v>
      </c>
      <c r="K763" t="s">
        <v>2423</v>
      </c>
      <c r="L763" t="s">
        <v>30</v>
      </c>
      <c r="M763" s="2" t="s">
        <v>30</v>
      </c>
      <c r="O763" t="s">
        <v>2424</v>
      </c>
      <c r="Q763" t="s">
        <v>2425</v>
      </c>
      <c r="R763" t="s">
        <v>2423</v>
      </c>
      <c r="S763" t="s">
        <v>2426</v>
      </c>
    </row>
    <row r="764" spans="1:19" x14ac:dyDescent="0.25">
      <c r="A764" t="s">
        <v>2286</v>
      </c>
      <c r="B764" t="s">
        <v>2286</v>
      </c>
      <c r="C764" t="s">
        <v>2400</v>
      </c>
      <c r="E764" t="s">
        <v>2401</v>
      </c>
      <c r="F764" t="s">
        <v>2402</v>
      </c>
      <c r="H764" t="s">
        <v>2427</v>
      </c>
      <c r="I764" t="s">
        <v>2428</v>
      </c>
      <c r="J764" t="s">
        <v>28</v>
      </c>
      <c r="K764" t="s">
        <v>2395</v>
      </c>
      <c r="L764" t="s">
        <v>30</v>
      </c>
      <c r="M764" s="2" t="s">
        <v>30</v>
      </c>
    </row>
    <row r="765" spans="1:19" x14ac:dyDescent="0.25">
      <c r="A765" t="s">
        <v>2286</v>
      </c>
      <c r="B765" t="s">
        <v>2286</v>
      </c>
      <c r="C765" t="s">
        <v>2400</v>
      </c>
      <c r="E765" t="s">
        <v>2401</v>
      </c>
      <c r="F765" t="s">
        <v>2402</v>
      </c>
      <c r="H765" t="s">
        <v>2429</v>
      </c>
      <c r="I765" t="s">
        <v>2430</v>
      </c>
      <c r="J765" t="s">
        <v>28</v>
      </c>
      <c r="K765" t="s">
        <v>2405</v>
      </c>
      <c r="L765" t="s">
        <v>30</v>
      </c>
      <c r="M765" s="2" t="s">
        <v>30</v>
      </c>
      <c r="O765" t="s">
        <v>2406</v>
      </c>
      <c r="R765" t="s">
        <v>2407</v>
      </c>
      <c r="S765" t="s">
        <v>2431</v>
      </c>
    </row>
    <row r="766" spans="1:19" x14ac:dyDescent="0.25">
      <c r="A766" t="s">
        <v>2286</v>
      </c>
      <c r="B766" t="s">
        <v>2286</v>
      </c>
      <c r="C766" t="s">
        <v>2400</v>
      </c>
      <c r="E766" t="s">
        <v>2401</v>
      </c>
      <c r="F766" t="s">
        <v>2402</v>
      </c>
      <c r="H766" t="s">
        <v>2432</v>
      </c>
      <c r="I766" t="s">
        <v>2433</v>
      </c>
      <c r="J766" t="s">
        <v>126</v>
      </c>
      <c r="K766" t="s">
        <v>2313</v>
      </c>
      <c r="L766" t="s">
        <v>30</v>
      </c>
      <c r="M766" s="2" t="s">
        <v>30</v>
      </c>
      <c r="O766" t="s">
        <v>2424</v>
      </c>
      <c r="R766" t="s">
        <v>2369</v>
      </c>
      <c r="S766" t="s">
        <v>2434</v>
      </c>
    </row>
    <row r="767" spans="1:19" x14ac:dyDescent="0.25">
      <c r="A767" t="s">
        <v>2286</v>
      </c>
      <c r="B767" t="s">
        <v>2286</v>
      </c>
      <c r="C767" t="s">
        <v>2400</v>
      </c>
      <c r="E767" t="s">
        <v>2401</v>
      </c>
      <c r="F767" t="s">
        <v>2402</v>
      </c>
      <c r="H767" t="s">
        <v>2435</v>
      </c>
      <c r="I767" t="s">
        <v>2436</v>
      </c>
      <c r="J767" t="s">
        <v>126</v>
      </c>
      <c r="K767" t="s">
        <v>2405</v>
      </c>
      <c r="L767" t="s">
        <v>30</v>
      </c>
      <c r="M767" s="2" t="s">
        <v>30</v>
      </c>
      <c r="O767" t="s">
        <v>2406</v>
      </c>
      <c r="R767" t="s">
        <v>2407</v>
      </c>
      <c r="S767" t="s">
        <v>2426</v>
      </c>
    </row>
    <row r="768" spans="1:19" x14ac:dyDescent="0.25">
      <c r="A768" t="s">
        <v>2286</v>
      </c>
      <c r="B768" t="s">
        <v>2286</v>
      </c>
      <c r="C768" t="s">
        <v>2400</v>
      </c>
      <c r="E768" t="s">
        <v>2401</v>
      </c>
      <c r="F768" t="s">
        <v>2402</v>
      </c>
      <c r="H768" t="s">
        <v>2437</v>
      </c>
      <c r="I768" t="s">
        <v>2438</v>
      </c>
      <c r="J768" t="s">
        <v>126</v>
      </c>
      <c r="K768" t="s">
        <v>2320</v>
      </c>
      <c r="L768" t="s">
        <v>30</v>
      </c>
      <c r="M768" s="2" t="s">
        <v>30</v>
      </c>
      <c r="O768" t="s">
        <v>2424</v>
      </c>
      <c r="Q768" t="s">
        <v>2295</v>
      </c>
      <c r="R768" t="s">
        <v>2320</v>
      </c>
      <c r="S768" t="s">
        <v>2434</v>
      </c>
    </row>
    <row r="769" spans="1:19" x14ac:dyDescent="0.25">
      <c r="A769" t="s">
        <v>2286</v>
      </c>
      <c r="B769" t="s">
        <v>2286</v>
      </c>
      <c r="C769" t="s">
        <v>2400</v>
      </c>
      <c r="E769" t="s">
        <v>2401</v>
      </c>
      <c r="F769" t="s">
        <v>2402</v>
      </c>
      <c r="H769" t="s">
        <v>2439</v>
      </c>
      <c r="I769" t="s">
        <v>2440</v>
      </c>
      <c r="J769" t="s">
        <v>126</v>
      </c>
      <c r="K769" t="s">
        <v>2313</v>
      </c>
      <c r="L769" t="s">
        <v>30</v>
      </c>
      <c r="M769" s="2" t="s">
        <v>30</v>
      </c>
      <c r="O769" t="s">
        <v>2424</v>
      </c>
      <c r="R769" t="s">
        <v>2369</v>
      </c>
      <c r="S769" t="s">
        <v>2416</v>
      </c>
    </row>
    <row r="770" spans="1:19" x14ac:dyDescent="0.25">
      <c r="A770" t="s">
        <v>2286</v>
      </c>
      <c r="B770" t="s">
        <v>2286</v>
      </c>
      <c r="C770" t="s">
        <v>2400</v>
      </c>
      <c r="E770" t="s">
        <v>2401</v>
      </c>
      <c r="F770" t="s">
        <v>2402</v>
      </c>
      <c r="H770" t="s">
        <v>2441</v>
      </c>
      <c r="I770" t="s">
        <v>2442</v>
      </c>
      <c r="J770" t="s">
        <v>126</v>
      </c>
      <c r="K770" t="s">
        <v>2405</v>
      </c>
      <c r="L770" t="s">
        <v>30</v>
      </c>
      <c r="M770" s="2" t="s">
        <v>30</v>
      </c>
      <c r="O770" t="s">
        <v>2406</v>
      </c>
      <c r="R770" t="s">
        <v>2407</v>
      </c>
      <c r="S770" t="s">
        <v>2416</v>
      </c>
    </row>
    <row r="771" spans="1:19" x14ac:dyDescent="0.25">
      <c r="A771" t="s">
        <v>2286</v>
      </c>
      <c r="B771" t="s">
        <v>2286</v>
      </c>
      <c r="C771" t="s">
        <v>2400</v>
      </c>
      <c r="E771" t="s">
        <v>2401</v>
      </c>
      <c r="F771" t="s">
        <v>2402</v>
      </c>
      <c r="H771" t="s">
        <v>2443</v>
      </c>
      <c r="I771" t="s">
        <v>2444</v>
      </c>
      <c r="J771" t="s">
        <v>126</v>
      </c>
      <c r="K771" t="s">
        <v>2405</v>
      </c>
      <c r="L771" t="s">
        <v>30</v>
      </c>
      <c r="M771" s="2" t="s">
        <v>30</v>
      </c>
      <c r="R771" t="s">
        <v>2407</v>
      </c>
      <c r="S771" t="s">
        <v>2434</v>
      </c>
    </row>
    <row r="772" spans="1:19" x14ac:dyDescent="0.25">
      <c r="A772" t="s">
        <v>2286</v>
      </c>
      <c r="B772" t="s">
        <v>2286</v>
      </c>
      <c r="C772" t="s">
        <v>2400</v>
      </c>
      <c r="E772" t="s">
        <v>2401</v>
      </c>
      <c r="F772" t="s">
        <v>2402</v>
      </c>
      <c r="H772" t="s">
        <v>2445</v>
      </c>
      <c r="I772" t="s">
        <v>2446</v>
      </c>
      <c r="J772" t="s">
        <v>126</v>
      </c>
      <c r="K772" t="s">
        <v>2447</v>
      </c>
      <c r="L772" t="s">
        <v>30</v>
      </c>
      <c r="M772" s="2" t="s">
        <v>30</v>
      </c>
      <c r="O772" t="s">
        <v>2448</v>
      </c>
      <c r="R772" t="s">
        <v>2447</v>
      </c>
      <c r="S772" t="s">
        <v>2295</v>
      </c>
    </row>
    <row r="773" spans="1:19" x14ac:dyDescent="0.25">
      <c r="A773" t="s">
        <v>2286</v>
      </c>
      <c r="B773" t="s">
        <v>2286</v>
      </c>
      <c r="C773" t="s">
        <v>2400</v>
      </c>
      <c r="E773" t="s">
        <v>2401</v>
      </c>
      <c r="F773" t="s">
        <v>2402</v>
      </c>
      <c r="H773" t="s">
        <v>2449</v>
      </c>
      <c r="I773" t="s">
        <v>2450</v>
      </c>
      <c r="J773" t="s">
        <v>126</v>
      </c>
      <c r="K773" t="s">
        <v>2451</v>
      </c>
      <c r="L773" t="s">
        <v>30</v>
      </c>
      <c r="M773" s="2" t="s">
        <v>30</v>
      </c>
      <c r="O773" t="s">
        <v>2452</v>
      </c>
      <c r="R773" t="s">
        <v>2369</v>
      </c>
      <c r="S773" t="s">
        <v>2453</v>
      </c>
    </row>
    <row r="774" spans="1:19" x14ac:dyDescent="0.25">
      <c r="A774" t="s">
        <v>2286</v>
      </c>
      <c r="B774" t="s">
        <v>2286</v>
      </c>
      <c r="C774" t="s">
        <v>2400</v>
      </c>
      <c r="E774" t="s">
        <v>2401</v>
      </c>
      <c r="F774" t="s">
        <v>2402</v>
      </c>
      <c r="H774" t="s">
        <v>2454</v>
      </c>
      <c r="I774" t="s">
        <v>2455</v>
      </c>
      <c r="J774" t="s">
        <v>126</v>
      </c>
      <c r="K774" t="s">
        <v>2456</v>
      </c>
      <c r="L774" t="s">
        <v>30</v>
      </c>
      <c r="M774" s="2" t="s">
        <v>30</v>
      </c>
      <c r="O774" t="s">
        <v>2457</v>
      </c>
      <c r="P774" t="s">
        <v>126</v>
      </c>
      <c r="Q774" t="s">
        <v>2295</v>
      </c>
      <c r="R774" t="s">
        <v>2415</v>
      </c>
      <c r="S774" t="s">
        <v>2458</v>
      </c>
    </row>
    <row r="775" spans="1:19" x14ac:dyDescent="0.25">
      <c r="A775" t="s">
        <v>2286</v>
      </c>
      <c r="B775" t="s">
        <v>2286</v>
      </c>
      <c r="C775" t="s">
        <v>2459</v>
      </c>
      <c r="E775" t="s">
        <v>2460</v>
      </c>
      <c r="F775" t="s">
        <v>2461</v>
      </c>
      <c r="H775" t="s">
        <v>2462</v>
      </c>
      <c r="I775" t="s">
        <v>2463</v>
      </c>
      <c r="J775" t="s">
        <v>28</v>
      </c>
      <c r="K775" t="s">
        <v>2395</v>
      </c>
      <c r="L775" t="s">
        <v>52</v>
      </c>
      <c r="M775" s="3" t="s">
        <v>52</v>
      </c>
    </row>
    <row r="776" spans="1:19" x14ac:dyDescent="0.25">
      <c r="A776" t="s">
        <v>2286</v>
      </c>
      <c r="B776" t="s">
        <v>2286</v>
      </c>
      <c r="C776" t="s">
        <v>2464</v>
      </c>
      <c r="E776" t="s">
        <v>2465</v>
      </c>
      <c r="F776" t="s">
        <v>2466</v>
      </c>
      <c r="H776" t="s">
        <v>2467</v>
      </c>
      <c r="I776" t="s">
        <v>2468</v>
      </c>
      <c r="J776" t="s">
        <v>28</v>
      </c>
      <c r="K776" t="s">
        <v>2405</v>
      </c>
      <c r="L776" t="s">
        <v>30</v>
      </c>
      <c r="M776" s="2" t="s">
        <v>30</v>
      </c>
    </row>
    <row r="777" spans="1:19" x14ac:dyDescent="0.25">
      <c r="A777" t="s">
        <v>2286</v>
      </c>
      <c r="B777" t="s">
        <v>2286</v>
      </c>
      <c r="C777" t="s">
        <v>2464</v>
      </c>
      <c r="E777" t="s">
        <v>2465</v>
      </c>
      <c r="F777" t="s">
        <v>2466</v>
      </c>
      <c r="H777" t="s">
        <v>2469</v>
      </c>
      <c r="I777" t="s">
        <v>2470</v>
      </c>
      <c r="J777" t="s">
        <v>28</v>
      </c>
      <c r="K777" t="s">
        <v>2405</v>
      </c>
      <c r="L777" t="s">
        <v>30</v>
      </c>
      <c r="M777" s="2" t="s">
        <v>30</v>
      </c>
    </row>
    <row r="778" spans="1:19" x14ac:dyDescent="0.25">
      <c r="A778" t="s">
        <v>2286</v>
      </c>
      <c r="B778" t="s">
        <v>2286</v>
      </c>
      <c r="C778" t="s">
        <v>2464</v>
      </c>
      <c r="E778" t="s">
        <v>2465</v>
      </c>
      <c r="F778" t="s">
        <v>2466</v>
      </c>
      <c r="H778" t="s">
        <v>2471</v>
      </c>
      <c r="I778" t="s">
        <v>2472</v>
      </c>
      <c r="J778" t="s">
        <v>28</v>
      </c>
      <c r="K778" t="s">
        <v>2405</v>
      </c>
      <c r="L778" t="s">
        <v>30</v>
      </c>
      <c r="M778" s="2" t="s">
        <v>30</v>
      </c>
    </row>
    <row r="779" spans="1:19" x14ac:dyDescent="0.25">
      <c r="A779" t="s">
        <v>2286</v>
      </c>
      <c r="B779" t="s">
        <v>2286</v>
      </c>
      <c r="C779" t="s">
        <v>2464</v>
      </c>
      <c r="E779" t="s">
        <v>2465</v>
      </c>
      <c r="F779" t="s">
        <v>2466</v>
      </c>
      <c r="H779" t="s">
        <v>2473</v>
      </c>
      <c r="I779" t="s">
        <v>2474</v>
      </c>
      <c r="J779" t="s">
        <v>28</v>
      </c>
      <c r="K779" t="s">
        <v>2405</v>
      </c>
      <c r="L779" t="s">
        <v>30</v>
      </c>
      <c r="M779" s="2" t="s">
        <v>30</v>
      </c>
    </row>
    <row r="780" spans="1:19" x14ac:dyDescent="0.25">
      <c r="A780" t="s">
        <v>2286</v>
      </c>
      <c r="B780" t="s">
        <v>2286</v>
      </c>
      <c r="C780" t="s">
        <v>2464</v>
      </c>
      <c r="E780" t="s">
        <v>2465</v>
      </c>
      <c r="F780" t="s">
        <v>2466</v>
      </c>
      <c r="H780" t="s">
        <v>2475</v>
      </c>
      <c r="I780" t="s">
        <v>2476</v>
      </c>
      <c r="J780" t="s">
        <v>28</v>
      </c>
      <c r="K780" t="s">
        <v>2405</v>
      </c>
      <c r="L780" t="s">
        <v>30</v>
      </c>
      <c r="M780" s="2" t="s">
        <v>30</v>
      </c>
    </row>
    <row r="781" spans="1:19" x14ac:dyDescent="0.25">
      <c r="A781" t="s">
        <v>2286</v>
      </c>
      <c r="B781" t="s">
        <v>2286</v>
      </c>
      <c r="C781" t="s">
        <v>2464</v>
      </c>
      <c r="E781" t="s">
        <v>2465</v>
      </c>
      <c r="F781" t="s">
        <v>2466</v>
      </c>
      <c r="H781" t="s">
        <v>2477</v>
      </c>
      <c r="I781" t="s">
        <v>2478</v>
      </c>
      <c r="J781" t="s">
        <v>28</v>
      </c>
      <c r="K781" t="s">
        <v>2405</v>
      </c>
      <c r="L781" t="s">
        <v>30</v>
      </c>
      <c r="M781" s="2" t="s">
        <v>30</v>
      </c>
    </row>
    <row r="782" spans="1:19" x14ac:dyDescent="0.25">
      <c r="A782" t="s">
        <v>2286</v>
      </c>
      <c r="B782" t="s">
        <v>2286</v>
      </c>
      <c r="C782" t="s">
        <v>2479</v>
      </c>
      <c r="E782" t="s">
        <v>2480</v>
      </c>
      <c r="F782" t="s">
        <v>2481</v>
      </c>
      <c r="H782" t="s">
        <v>2482</v>
      </c>
      <c r="I782" t="s">
        <v>2483</v>
      </c>
      <c r="J782" t="s">
        <v>28</v>
      </c>
      <c r="K782" t="s">
        <v>2354</v>
      </c>
      <c r="L782" t="s">
        <v>30</v>
      </c>
      <c r="M782" s="2" t="s">
        <v>30</v>
      </c>
      <c r="O782" t="s">
        <v>2484</v>
      </c>
      <c r="Q782" t="s">
        <v>2485</v>
      </c>
      <c r="R782" t="s">
        <v>2306</v>
      </c>
    </row>
    <row r="783" spans="1:19" x14ac:dyDescent="0.25">
      <c r="A783" t="s">
        <v>2286</v>
      </c>
      <c r="B783" t="s">
        <v>2286</v>
      </c>
      <c r="C783" t="s">
        <v>2479</v>
      </c>
      <c r="E783" t="s">
        <v>2480</v>
      </c>
      <c r="F783" t="s">
        <v>2481</v>
      </c>
      <c r="H783" t="s">
        <v>2486</v>
      </c>
      <c r="I783" t="s">
        <v>2487</v>
      </c>
      <c r="J783" t="s">
        <v>28</v>
      </c>
      <c r="K783" t="s">
        <v>2488</v>
      </c>
      <c r="L783" t="s">
        <v>30</v>
      </c>
      <c r="M783" s="2" t="s">
        <v>30</v>
      </c>
      <c r="O783" t="s">
        <v>2489</v>
      </c>
      <c r="Q783" t="s">
        <v>2490</v>
      </c>
      <c r="R783" t="s">
        <v>2306</v>
      </c>
    </row>
    <row r="784" spans="1:19" x14ac:dyDescent="0.25">
      <c r="A784" t="s">
        <v>2286</v>
      </c>
      <c r="B784" t="s">
        <v>2286</v>
      </c>
      <c r="C784" t="s">
        <v>2479</v>
      </c>
      <c r="E784" t="s">
        <v>2480</v>
      </c>
      <c r="F784" t="s">
        <v>2481</v>
      </c>
      <c r="H784" t="s">
        <v>2491</v>
      </c>
      <c r="I784" t="s">
        <v>2492</v>
      </c>
      <c r="J784" t="s">
        <v>28</v>
      </c>
      <c r="K784" t="s">
        <v>2493</v>
      </c>
      <c r="L784" t="s">
        <v>30</v>
      </c>
      <c r="M784" s="2" t="s">
        <v>30</v>
      </c>
    </row>
    <row r="785" spans="1:19" x14ac:dyDescent="0.25">
      <c r="A785" t="s">
        <v>2286</v>
      </c>
      <c r="B785" t="s">
        <v>2286</v>
      </c>
      <c r="C785" t="s">
        <v>2479</v>
      </c>
      <c r="E785" t="s">
        <v>2480</v>
      </c>
      <c r="F785" t="s">
        <v>2481</v>
      </c>
      <c r="H785" t="s">
        <v>2494</v>
      </c>
      <c r="I785" t="s">
        <v>2495</v>
      </c>
      <c r="J785" t="s">
        <v>28</v>
      </c>
      <c r="K785" t="s">
        <v>2493</v>
      </c>
      <c r="L785" t="s">
        <v>30</v>
      </c>
      <c r="M785" s="2" t="s">
        <v>30</v>
      </c>
    </row>
    <row r="786" spans="1:19" x14ac:dyDescent="0.25">
      <c r="A786" t="s">
        <v>2286</v>
      </c>
      <c r="B786" t="s">
        <v>2286</v>
      </c>
      <c r="C786" t="s">
        <v>2479</v>
      </c>
      <c r="E786" t="s">
        <v>2480</v>
      </c>
      <c r="F786" t="s">
        <v>2481</v>
      </c>
      <c r="H786" t="s">
        <v>2496</v>
      </c>
      <c r="I786" t="s">
        <v>2497</v>
      </c>
      <c r="J786" t="s">
        <v>28</v>
      </c>
      <c r="K786" t="s">
        <v>2493</v>
      </c>
      <c r="L786" t="s">
        <v>30</v>
      </c>
      <c r="M786" s="2" t="s">
        <v>30</v>
      </c>
    </row>
    <row r="787" spans="1:19" x14ac:dyDescent="0.25">
      <c r="A787" t="s">
        <v>2286</v>
      </c>
      <c r="B787" t="s">
        <v>2286</v>
      </c>
      <c r="C787" t="s">
        <v>2479</v>
      </c>
      <c r="E787" t="s">
        <v>2480</v>
      </c>
      <c r="F787" t="s">
        <v>2481</v>
      </c>
      <c r="H787" t="s">
        <v>2498</v>
      </c>
      <c r="I787" t="s">
        <v>2499</v>
      </c>
      <c r="J787" t="s">
        <v>126</v>
      </c>
      <c r="K787" t="s">
        <v>2500</v>
      </c>
      <c r="L787" t="s">
        <v>30</v>
      </c>
      <c r="M787" s="2" t="s">
        <v>30</v>
      </c>
      <c r="O787" t="s">
        <v>2501</v>
      </c>
      <c r="R787" t="s">
        <v>2447</v>
      </c>
      <c r="S787" t="s">
        <v>2502</v>
      </c>
    </row>
    <row r="788" spans="1:19" x14ac:dyDescent="0.25">
      <c r="A788" t="s">
        <v>2286</v>
      </c>
      <c r="B788" t="s">
        <v>2286</v>
      </c>
      <c r="C788" t="s">
        <v>2503</v>
      </c>
      <c r="E788" t="s">
        <v>2504</v>
      </c>
      <c r="F788" t="s">
        <v>2505</v>
      </c>
      <c r="H788" t="s">
        <v>2506</v>
      </c>
      <c r="I788" t="s">
        <v>2507</v>
      </c>
      <c r="J788" t="s">
        <v>28</v>
      </c>
      <c r="K788" t="s">
        <v>2405</v>
      </c>
      <c r="L788" t="s">
        <v>30</v>
      </c>
      <c r="M788" s="2" t="s">
        <v>30</v>
      </c>
    </row>
    <row r="789" spans="1:19" x14ac:dyDescent="0.25">
      <c r="A789" t="s">
        <v>2286</v>
      </c>
      <c r="B789" t="s">
        <v>2286</v>
      </c>
      <c r="C789" t="s">
        <v>2503</v>
      </c>
      <c r="E789" t="s">
        <v>2504</v>
      </c>
      <c r="F789" t="s">
        <v>2505</v>
      </c>
      <c r="H789" t="s">
        <v>2508</v>
      </c>
      <c r="I789" t="s">
        <v>2509</v>
      </c>
      <c r="J789" t="s">
        <v>28</v>
      </c>
      <c r="K789" t="s">
        <v>2405</v>
      </c>
      <c r="L789" t="s">
        <v>30</v>
      </c>
      <c r="M789" s="2" t="s">
        <v>30</v>
      </c>
    </row>
    <row r="790" spans="1:19" x14ac:dyDescent="0.25">
      <c r="A790" t="s">
        <v>2286</v>
      </c>
      <c r="B790" t="s">
        <v>2286</v>
      </c>
      <c r="C790" t="s">
        <v>2503</v>
      </c>
      <c r="E790" t="s">
        <v>2504</v>
      </c>
      <c r="F790" t="s">
        <v>2505</v>
      </c>
      <c r="H790" t="s">
        <v>2510</v>
      </c>
      <c r="I790" t="s">
        <v>2511</v>
      </c>
      <c r="J790" t="s">
        <v>28</v>
      </c>
      <c r="K790" t="s">
        <v>2405</v>
      </c>
      <c r="L790" t="s">
        <v>30</v>
      </c>
      <c r="M790" s="2" t="s">
        <v>30</v>
      </c>
    </row>
    <row r="791" spans="1:19" x14ac:dyDescent="0.25">
      <c r="A791" t="s">
        <v>2286</v>
      </c>
      <c r="B791" t="s">
        <v>2286</v>
      </c>
      <c r="C791" t="s">
        <v>2503</v>
      </c>
      <c r="E791" t="s">
        <v>2504</v>
      </c>
      <c r="F791" t="s">
        <v>2505</v>
      </c>
      <c r="H791" t="s">
        <v>2512</v>
      </c>
      <c r="I791" t="s">
        <v>2513</v>
      </c>
      <c r="J791" t="s">
        <v>28</v>
      </c>
      <c r="K791" t="s">
        <v>2451</v>
      </c>
      <c r="L791" t="s">
        <v>30</v>
      </c>
      <c r="M791" s="2" t="s">
        <v>30</v>
      </c>
      <c r="O791" t="s">
        <v>2514</v>
      </c>
      <c r="R791" t="s">
        <v>2369</v>
      </c>
      <c r="S791" t="s">
        <v>2295</v>
      </c>
    </row>
    <row r="792" spans="1:19" x14ac:dyDescent="0.25">
      <c r="A792" t="s">
        <v>2286</v>
      </c>
      <c r="B792" t="s">
        <v>2286</v>
      </c>
      <c r="C792" t="s">
        <v>2515</v>
      </c>
      <c r="E792" t="s">
        <v>2516</v>
      </c>
      <c r="F792" t="s">
        <v>2505</v>
      </c>
      <c r="H792" t="s">
        <v>2517</v>
      </c>
      <c r="I792" t="s">
        <v>1571</v>
      </c>
      <c r="J792" t="s">
        <v>28</v>
      </c>
      <c r="K792" t="s">
        <v>2405</v>
      </c>
      <c r="L792" t="s">
        <v>30</v>
      </c>
      <c r="M792" s="2" t="s">
        <v>30</v>
      </c>
    </row>
    <row r="793" spans="1:19" x14ac:dyDescent="0.25">
      <c r="A793" t="s">
        <v>2286</v>
      </c>
      <c r="B793" t="s">
        <v>2286</v>
      </c>
      <c r="C793" t="s">
        <v>2518</v>
      </c>
      <c r="E793" t="s">
        <v>2519</v>
      </c>
      <c r="F793" t="s">
        <v>2520</v>
      </c>
      <c r="H793" t="s">
        <v>2518</v>
      </c>
      <c r="I793" t="s">
        <v>2394</v>
      </c>
      <c r="J793" t="s">
        <v>28</v>
      </c>
      <c r="K793" t="s">
        <v>2294</v>
      </c>
      <c r="L793" t="s">
        <v>30</v>
      </c>
      <c r="M793" s="2" t="s">
        <v>30</v>
      </c>
      <c r="O793" t="s">
        <v>2521</v>
      </c>
      <c r="R793" t="s">
        <v>2294</v>
      </c>
      <c r="S793" t="s">
        <v>2522</v>
      </c>
    </row>
    <row r="794" spans="1:19" x14ac:dyDescent="0.25">
      <c r="A794" t="s">
        <v>2286</v>
      </c>
      <c r="B794" t="s">
        <v>2286</v>
      </c>
      <c r="C794" t="s">
        <v>2523</v>
      </c>
      <c r="E794" t="s">
        <v>2524</v>
      </c>
      <c r="F794" t="s">
        <v>2525</v>
      </c>
      <c r="H794" t="s">
        <v>2526</v>
      </c>
      <c r="I794" t="s">
        <v>2527</v>
      </c>
      <c r="J794" t="s">
        <v>28</v>
      </c>
      <c r="K794" t="s">
        <v>2528</v>
      </c>
      <c r="L794" t="s">
        <v>30</v>
      </c>
      <c r="M794" s="2" t="s">
        <v>30</v>
      </c>
      <c r="O794" t="s">
        <v>2529</v>
      </c>
      <c r="R794" t="s">
        <v>2447</v>
      </c>
      <c r="S794" t="s">
        <v>2530</v>
      </c>
    </row>
    <row r="795" spans="1:19" x14ac:dyDescent="0.25">
      <c r="A795" t="s">
        <v>2286</v>
      </c>
      <c r="B795" t="s">
        <v>2286</v>
      </c>
      <c r="C795" t="s">
        <v>2523</v>
      </c>
      <c r="E795" t="s">
        <v>2524</v>
      </c>
      <c r="F795" t="s">
        <v>2525</v>
      </c>
      <c r="H795" t="s">
        <v>2531</v>
      </c>
      <c r="I795" t="s">
        <v>2532</v>
      </c>
      <c r="J795" t="s">
        <v>28</v>
      </c>
      <c r="K795" t="s">
        <v>2313</v>
      </c>
      <c r="L795" t="s">
        <v>30</v>
      </c>
      <c r="M795" s="2" t="s">
        <v>30</v>
      </c>
      <c r="O795" t="s">
        <v>2533</v>
      </c>
    </row>
    <row r="796" spans="1:19" x14ac:dyDescent="0.25">
      <c r="A796" t="s">
        <v>2286</v>
      </c>
      <c r="B796" t="s">
        <v>2286</v>
      </c>
      <c r="C796" t="s">
        <v>2523</v>
      </c>
      <c r="E796" t="s">
        <v>2524</v>
      </c>
      <c r="F796" t="s">
        <v>2525</v>
      </c>
      <c r="H796" t="s">
        <v>2534</v>
      </c>
      <c r="I796" t="s">
        <v>2535</v>
      </c>
      <c r="J796" t="s">
        <v>28</v>
      </c>
      <c r="K796" t="s">
        <v>2317</v>
      </c>
      <c r="L796" t="s">
        <v>30</v>
      </c>
      <c r="M796" s="2" t="s">
        <v>30</v>
      </c>
      <c r="O796" t="s">
        <v>2536</v>
      </c>
      <c r="Q796" t="s">
        <v>2537</v>
      </c>
      <c r="R796" t="s">
        <v>2369</v>
      </c>
      <c r="S796" t="s">
        <v>2538</v>
      </c>
    </row>
    <row r="797" spans="1:19" x14ac:dyDescent="0.25">
      <c r="A797" t="s">
        <v>2286</v>
      </c>
      <c r="B797" t="s">
        <v>2286</v>
      </c>
      <c r="C797" t="s">
        <v>2523</v>
      </c>
      <c r="E797" t="s">
        <v>2524</v>
      </c>
      <c r="F797" t="s">
        <v>2525</v>
      </c>
      <c r="H797" t="s">
        <v>2539</v>
      </c>
      <c r="I797" t="s">
        <v>2540</v>
      </c>
      <c r="J797" t="s">
        <v>28</v>
      </c>
      <c r="K797" t="s">
        <v>2313</v>
      </c>
      <c r="L797" t="s">
        <v>30</v>
      </c>
      <c r="M797" s="2" t="s">
        <v>30</v>
      </c>
      <c r="R797" t="s">
        <v>2369</v>
      </c>
    </row>
    <row r="798" spans="1:19" x14ac:dyDescent="0.25">
      <c r="A798" t="s">
        <v>2286</v>
      </c>
      <c r="B798" t="s">
        <v>2286</v>
      </c>
      <c r="C798" t="s">
        <v>2523</v>
      </c>
      <c r="E798" t="s">
        <v>2524</v>
      </c>
      <c r="F798" t="s">
        <v>2525</v>
      </c>
      <c r="H798" t="s">
        <v>2541</v>
      </c>
      <c r="I798" t="s">
        <v>2542</v>
      </c>
      <c r="J798" t="s">
        <v>28</v>
      </c>
      <c r="K798" t="s">
        <v>2313</v>
      </c>
      <c r="L798" t="s">
        <v>30</v>
      </c>
      <c r="M798" s="2" t="s">
        <v>30</v>
      </c>
      <c r="R798" t="s">
        <v>2369</v>
      </c>
    </row>
    <row r="799" spans="1:19" x14ac:dyDescent="0.25">
      <c r="A799" t="s">
        <v>2286</v>
      </c>
      <c r="B799" t="s">
        <v>2286</v>
      </c>
      <c r="C799" t="s">
        <v>2523</v>
      </c>
      <c r="E799" t="s">
        <v>2524</v>
      </c>
      <c r="F799" t="s">
        <v>2525</v>
      </c>
      <c r="H799" t="s">
        <v>2543</v>
      </c>
      <c r="I799" t="s">
        <v>2544</v>
      </c>
      <c r="J799" t="s">
        <v>28</v>
      </c>
      <c r="K799" t="s">
        <v>2313</v>
      </c>
      <c r="L799" t="s">
        <v>30</v>
      </c>
      <c r="M799" s="2" t="s">
        <v>30</v>
      </c>
      <c r="R799" t="s">
        <v>2369</v>
      </c>
    </row>
    <row r="800" spans="1:19" x14ac:dyDescent="0.25">
      <c r="A800" t="s">
        <v>2286</v>
      </c>
      <c r="B800" t="s">
        <v>2286</v>
      </c>
      <c r="C800" t="s">
        <v>2523</v>
      </c>
      <c r="E800" t="s">
        <v>2524</v>
      </c>
      <c r="F800" t="s">
        <v>2525</v>
      </c>
      <c r="H800" t="s">
        <v>2545</v>
      </c>
      <c r="I800" t="s">
        <v>2546</v>
      </c>
      <c r="J800" t="s">
        <v>28</v>
      </c>
      <c r="K800" t="s">
        <v>2313</v>
      </c>
      <c r="L800" t="s">
        <v>30</v>
      </c>
      <c r="M800" s="2" t="s">
        <v>30</v>
      </c>
      <c r="O800" t="s">
        <v>2547</v>
      </c>
    </row>
    <row r="801" spans="1:19" x14ac:dyDescent="0.25">
      <c r="A801" t="s">
        <v>2286</v>
      </c>
      <c r="B801" t="s">
        <v>2286</v>
      </c>
      <c r="C801" t="s">
        <v>2523</v>
      </c>
      <c r="E801" t="s">
        <v>2524</v>
      </c>
      <c r="F801" t="s">
        <v>2525</v>
      </c>
      <c r="H801" t="s">
        <v>2548</v>
      </c>
      <c r="I801" t="s">
        <v>2549</v>
      </c>
      <c r="J801" t="s">
        <v>28</v>
      </c>
      <c r="K801" t="s">
        <v>2313</v>
      </c>
      <c r="L801" t="s">
        <v>30</v>
      </c>
      <c r="M801" s="2" t="s">
        <v>30</v>
      </c>
      <c r="O801" t="s">
        <v>2550</v>
      </c>
      <c r="R801" t="s">
        <v>2369</v>
      </c>
    </row>
    <row r="802" spans="1:19" x14ac:dyDescent="0.25">
      <c r="A802" t="s">
        <v>2286</v>
      </c>
      <c r="B802" t="s">
        <v>2286</v>
      </c>
      <c r="C802" t="s">
        <v>2523</v>
      </c>
      <c r="E802" t="s">
        <v>2524</v>
      </c>
      <c r="F802" t="s">
        <v>2525</v>
      </c>
      <c r="H802" t="s">
        <v>2551</v>
      </c>
      <c r="I802" t="s">
        <v>2552</v>
      </c>
      <c r="J802" t="s">
        <v>28</v>
      </c>
      <c r="K802" t="s">
        <v>2553</v>
      </c>
      <c r="L802" t="s">
        <v>30</v>
      </c>
      <c r="M802" s="2" t="s">
        <v>30</v>
      </c>
      <c r="O802" t="s">
        <v>2554</v>
      </c>
      <c r="Q802" t="s">
        <v>2555</v>
      </c>
      <c r="R802" t="s">
        <v>2415</v>
      </c>
      <c r="S802" t="s">
        <v>2556</v>
      </c>
    </row>
    <row r="803" spans="1:19" x14ac:dyDescent="0.25">
      <c r="A803" t="s">
        <v>2286</v>
      </c>
      <c r="B803" t="s">
        <v>2286</v>
      </c>
      <c r="C803" t="s">
        <v>2523</v>
      </c>
      <c r="E803" t="s">
        <v>2524</v>
      </c>
      <c r="F803" t="s">
        <v>2525</v>
      </c>
      <c r="H803" t="s">
        <v>2557</v>
      </c>
      <c r="I803" t="s">
        <v>2558</v>
      </c>
      <c r="J803" t="s">
        <v>28</v>
      </c>
      <c r="K803" t="s">
        <v>2423</v>
      </c>
      <c r="L803" t="s">
        <v>30</v>
      </c>
      <c r="M803" s="2" t="s">
        <v>30</v>
      </c>
      <c r="O803" t="s">
        <v>2559</v>
      </c>
      <c r="Q803" t="s">
        <v>2560</v>
      </c>
      <c r="R803" t="s">
        <v>2423</v>
      </c>
      <c r="S803" t="s">
        <v>2556</v>
      </c>
    </row>
    <row r="804" spans="1:19" x14ac:dyDescent="0.25">
      <c r="A804" t="s">
        <v>2286</v>
      </c>
      <c r="B804" t="s">
        <v>2286</v>
      </c>
      <c r="C804" t="s">
        <v>2523</v>
      </c>
      <c r="E804" t="s">
        <v>2524</v>
      </c>
      <c r="F804" t="s">
        <v>2525</v>
      </c>
      <c r="H804" t="s">
        <v>2561</v>
      </c>
      <c r="I804" t="s">
        <v>2562</v>
      </c>
      <c r="J804" t="s">
        <v>28</v>
      </c>
      <c r="K804" t="s">
        <v>2423</v>
      </c>
      <c r="L804" t="s">
        <v>30</v>
      </c>
      <c r="M804" s="2" t="s">
        <v>30</v>
      </c>
      <c r="O804" t="s">
        <v>2563</v>
      </c>
      <c r="P804" t="s">
        <v>126</v>
      </c>
      <c r="Q804" t="s">
        <v>2560</v>
      </c>
      <c r="R804" t="s">
        <v>2423</v>
      </c>
    </row>
    <row r="805" spans="1:19" x14ac:dyDescent="0.25">
      <c r="A805" t="s">
        <v>2286</v>
      </c>
      <c r="B805" t="s">
        <v>2286</v>
      </c>
      <c r="C805" t="s">
        <v>2523</v>
      </c>
      <c r="E805" t="s">
        <v>2524</v>
      </c>
      <c r="F805" t="s">
        <v>2525</v>
      </c>
      <c r="H805" t="s">
        <v>2564</v>
      </c>
      <c r="I805" t="s">
        <v>2565</v>
      </c>
      <c r="J805" t="s">
        <v>126</v>
      </c>
      <c r="K805" t="s">
        <v>2320</v>
      </c>
      <c r="L805" t="s">
        <v>30</v>
      </c>
      <c r="M805" s="2" t="s">
        <v>30</v>
      </c>
      <c r="O805" t="s">
        <v>2566</v>
      </c>
      <c r="Q805" t="s">
        <v>2567</v>
      </c>
      <c r="R805" t="s">
        <v>2320</v>
      </c>
    </row>
    <row r="806" spans="1:19" x14ac:dyDescent="0.25">
      <c r="A806" t="s">
        <v>2286</v>
      </c>
      <c r="B806" t="s">
        <v>2286</v>
      </c>
      <c r="C806" t="s">
        <v>2523</v>
      </c>
      <c r="E806" t="s">
        <v>2524</v>
      </c>
      <c r="F806" t="s">
        <v>2525</v>
      </c>
      <c r="H806" t="s">
        <v>2568</v>
      </c>
      <c r="I806" t="s">
        <v>2569</v>
      </c>
      <c r="J806" t="s">
        <v>126</v>
      </c>
      <c r="K806" t="s">
        <v>2570</v>
      </c>
      <c r="L806" t="s">
        <v>30</v>
      </c>
      <c r="M806" s="2" t="s">
        <v>30</v>
      </c>
      <c r="O806" t="s">
        <v>2566</v>
      </c>
      <c r="P806" t="s">
        <v>126</v>
      </c>
      <c r="Q806" t="s">
        <v>2571</v>
      </c>
      <c r="R806" t="s">
        <v>2415</v>
      </c>
      <c r="S806" t="s">
        <v>2572</v>
      </c>
    </row>
    <row r="807" spans="1:19" x14ac:dyDescent="0.25">
      <c r="A807" t="s">
        <v>2286</v>
      </c>
      <c r="B807" t="s">
        <v>2286</v>
      </c>
      <c r="C807" t="s">
        <v>2573</v>
      </c>
      <c r="E807" t="s">
        <v>2574</v>
      </c>
      <c r="F807" t="s">
        <v>2525</v>
      </c>
      <c r="H807" t="s">
        <v>2575</v>
      </c>
      <c r="I807" t="s">
        <v>2576</v>
      </c>
      <c r="J807" t="s">
        <v>28</v>
      </c>
      <c r="K807" t="s">
        <v>2294</v>
      </c>
      <c r="L807" t="s">
        <v>30</v>
      </c>
      <c r="M807" s="2" t="s">
        <v>30</v>
      </c>
      <c r="O807" t="s">
        <v>2529</v>
      </c>
      <c r="R807" t="s">
        <v>2294</v>
      </c>
      <c r="S807" t="s">
        <v>2572</v>
      </c>
    </row>
    <row r="808" spans="1:19" x14ac:dyDescent="0.25">
      <c r="A808" t="s">
        <v>2286</v>
      </c>
      <c r="B808" t="s">
        <v>2286</v>
      </c>
      <c r="C808" t="s">
        <v>2577</v>
      </c>
      <c r="E808" t="s">
        <v>2578</v>
      </c>
      <c r="F808" t="s">
        <v>2579</v>
      </c>
      <c r="H808" t="s">
        <v>2580</v>
      </c>
      <c r="I808" t="s">
        <v>2581</v>
      </c>
      <c r="J808" t="s">
        <v>28</v>
      </c>
      <c r="K808" t="s">
        <v>2320</v>
      </c>
      <c r="L808" t="s">
        <v>30</v>
      </c>
      <c r="M808" s="2" t="s">
        <v>30</v>
      </c>
      <c r="O808" t="s">
        <v>2582</v>
      </c>
      <c r="R808" t="s">
        <v>2320</v>
      </c>
      <c r="S808" t="s">
        <v>2583</v>
      </c>
    </row>
    <row r="809" spans="1:19" x14ac:dyDescent="0.25">
      <c r="A809" t="s">
        <v>2286</v>
      </c>
      <c r="B809" t="s">
        <v>2286</v>
      </c>
      <c r="C809" t="s">
        <v>2577</v>
      </c>
      <c r="E809" t="s">
        <v>2578</v>
      </c>
      <c r="F809" t="s">
        <v>2579</v>
      </c>
      <c r="H809" t="s">
        <v>2584</v>
      </c>
      <c r="I809" t="s">
        <v>2585</v>
      </c>
      <c r="J809" t="s">
        <v>28</v>
      </c>
      <c r="K809" t="s">
        <v>2320</v>
      </c>
      <c r="L809" t="s">
        <v>30</v>
      </c>
      <c r="M809" s="2" t="s">
        <v>30</v>
      </c>
      <c r="O809" t="s">
        <v>2586</v>
      </c>
      <c r="R809" t="s">
        <v>2320</v>
      </c>
      <c r="S809" t="s">
        <v>2583</v>
      </c>
    </row>
    <row r="810" spans="1:19" x14ac:dyDescent="0.25">
      <c r="A810" t="s">
        <v>2286</v>
      </c>
      <c r="B810" t="s">
        <v>2286</v>
      </c>
      <c r="C810" t="s">
        <v>2577</v>
      </c>
      <c r="E810" t="s">
        <v>2578</v>
      </c>
      <c r="F810" t="s">
        <v>2579</v>
      </c>
      <c r="H810" t="s">
        <v>2587</v>
      </c>
      <c r="I810" t="s">
        <v>2588</v>
      </c>
      <c r="J810" t="s">
        <v>28</v>
      </c>
      <c r="K810" t="s">
        <v>2320</v>
      </c>
      <c r="L810" t="s">
        <v>30</v>
      </c>
      <c r="M810" s="2" t="s">
        <v>30</v>
      </c>
      <c r="O810" t="s">
        <v>2586</v>
      </c>
      <c r="R810" t="s">
        <v>2320</v>
      </c>
      <c r="S810" t="s">
        <v>2583</v>
      </c>
    </row>
    <row r="811" spans="1:19" x14ac:dyDescent="0.25">
      <c r="A811" t="s">
        <v>2286</v>
      </c>
      <c r="B811" t="s">
        <v>2286</v>
      </c>
      <c r="C811" t="s">
        <v>2577</v>
      </c>
      <c r="E811" t="s">
        <v>2578</v>
      </c>
      <c r="F811" t="s">
        <v>2579</v>
      </c>
      <c r="H811" t="s">
        <v>2589</v>
      </c>
      <c r="I811" t="s">
        <v>2590</v>
      </c>
      <c r="J811" t="s">
        <v>28</v>
      </c>
      <c r="K811" t="s">
        <v>2405</v>
      </c>
      <c r="L811" t="s">
        <v>30</v>
      </c>
      <c r="M811" s="2" t="s">
        <v>30</v>
      </c>
    </row>
    <row r="812" spans="1:19" x14ac:dyDescent="0.25">
      <c r="A812" t="s">
        <v>2286</v>
      </c>
      <c r="B812" t="s">
        <v>2286</v>
      </c>
      <c r="C812" t="s">
        <v>2577</v>
      </c>
      <c r="E812" t="s">
        <v>2578</v>
      </c>
      <c r="F812" t="s">
        <v>2579</v>
      </c>
      <c r="H812" t="s">
        <v>2591</v>
      </c>
      <c r="I812" t="s">
        <v>2592</v>
      </c>
      <c r="J812" t="s">
        <v>28</v>
      </c>
      <c r="K812" t="s">
        <v>2294</v>
      </c>
      <c r="L812" t="s">
        <v>30</v>
      </c>
      <c r="M812" s="2" t="s">
        <v>30</v>
      </c>
      <c r="O812" t="s">
        <v>2593</v>
      </c>
      <c r="R812" t="s">
        <v>2294</v>
      </c>
      <c r="S812" t="s">
        <v>2522</v>
      </c>
    </row>
    <row r="813" spans="1:19" x14ac:dyDescent="0.25">
      <c r="A813" t="s">
        <v>2286</v>
      </c>
      <c r="B813" t="s">
        <v>2286</v>
      </c>
      <c r="C813" t="s">
        <v>2577</v>
      </c>
      <c r="E813" t="s">
        <v>2578</v>
      </c>
      <c r="F813" t="s">
        <v>2579</v>
      </c>
      <c r="H813" t="s">
        <v>2594</v>
      </c>
      <c r="I813" t="s">
        <v>2595</v>
      </c>
      <c r="J813" t="s">
        <v>28</v>
      </c>
      <c r="K813" t="s">
        <v>2294</v>
      </c>
      <c r="L813" t="s">
        <v>30</v>
      </c>
      <c r="M813" s="2" t="s">
        <v>30</v>
      </c>
      <c r="O813" t="s">
        <v>2593</v>
      </c>
      <c r="R813" t="s">
        <v>2294</v>
      </c>
      <c r="S813" t="s">
        <v>2522</v>
      </c>
    </row>
    <row r="814" spans="1:19" x14ac:dyDescent="0.25">
      <c r="A814" t="s">
        <v>2286</v>
      </c>
      <c r="B814" t="s">
        <v>2286</v>
      </c>
      <c r="C814" t="s">
        <v>2577</v>
      </c>
      <c r="E814" t="s">
        <v>2578</v>
      </c>
      <c r="F814" t="s">
        <v>2579</v>
      </c>
      <c r="H814" t="s">
        <v>2596</v>
      </c>
      <c r="I814" t="s">
        <v>2597</v>
      </c>
      <c r="J814" t="s">
        <v>28</v>
      </c>
      <c r="K814" t="s">
        <v>2405</v>
      </c>
      <c r="L814" t="s">
        <v>30</v>
      </c>
      <c r="M814" s="2" t="s">
        <v>30</v>
      </c>
    </row>
    <row r="815" spans="1:19" x14ac:dyDescent="0.25">
      <c r="A815" t="s">
        <v>2286</v>
      </c>
      <c r="B815" t="s">
        <v>2286</v>
      </c>
      <c r="C815" t="s">
        <v>2577</v>
      </c>
      <c r="E815" t="s">
        <v>2578</v>
      </c>
      <c r="F815" t="s">
        <v>2579</v>
      </c>
      <c r="H815" t="s">
        <v>2598</v>
      </c>
      <c r="I815" t="s">
        <v>2599</v>
      </c>
      <c r="J815" t="s">
        <v>28</v>
      </c>
      <c r="K815" t="s">
        <v>2294</v>
      </c>
      <c r="L815" t="s">
        <v>30</v>
      </c>
      <c r="M815" s="2" t="s">
        <v>30</v>
      </c>
      <c r="O815" t="s">
        <v>2593</v>
      </c>
      <c r="R815" t="s">
        <v>2294</v>
      </c>
      <c r="S815" t="s">
        <v>2522</v>
      </c>
    </row>
    <row r="816" spans="1:19" x14ac:dyDescent="0.25">
      <c r="A816" t="s">
        <v>2286</v>
      </c>
      <c r="B816" t="s">
        <v>2286</v>
      </c>
      <c r="C816" t="s">
        <v>2577</v>
      </c>
      <c r="E816" t="s">
        <v>2578</v>
      </c>
      <c r="F816" t="s">
        <v>2579</v>
      </c>
      <c r="H816" t="s">
        <v>2600</v>
      </c>
      <c r="I816" t="s">
        <v>2601</v>
      </c>
      <c r="J816" t="s">
        <v>28</v>
      </c>
      <c r="K816" t="s">
        <v>2294</v>
      </c>
      <c r="L816" t="s">
        <v>30</v>
      </c>
      <c r="M816" s="2" t="s">
        <v>30</v>
      </c>
      <c r="O816" t="s">
        <v>2602</v>
      </c>
      <c r="R816" t="s">
        <v>2294</v>
      </c>
      <c r="S816" t="s">
        <v>2583</v>
      </c>
    </row>
    <row r="817" spans="1:19" x14ac:dyDescent="0.25">
      <c r="A817" t="s">
        <v>2286</v>
      </c>
      <c r="B817" t="s">
        <v>2286</v>
      </c>
      <c r="C817" t="s">
        <v>2577</v>
      </c>
      <c r="E817" t="s">
        <v>2578</v>
      </c>
      <c r="F817" t="s">
        <v>2579</v>
      </c>
      <c r="H817" t="s">
        <v>2603</v>
      </c>
      <c r="I817" t="s">
        <v>2604</v>
      </c>
      <c r="J817" t="s">
        <v>28</v>
      </c>
      <c r="K817" t="s">
        <v>2320</v>
      </c>
      <c r="L817" t="s">
        <v>30</v>
      </c>
      <c r="M817" s="2" t="s">
        <v>30</v>
      </c>
      <c r="O817" t="s">
        <v>2602</v>
      </c>
      <c r="R817" t="s">
        <v>2320</v>
      </c>
      <c r="S817" t="s">
        <v>2583</v>
      </c>
    </row>
    <row r="818" spans="1:19" x14ac:dyDescent="0.25">
      <c r="A818" t="s">
        <v>2286</v>
      </c>
      <c r="B818" t="s">
        <v>2286</v>
      </c>
      <c r="C818" t="s">
        <v>2605</v>
      </c>
      <c r="E818" t="s">
        <v>2606</v>
      </c>
      <c r="F818" t="s">
        <v>2579</v>
      </c>
      <c r="H818" t="s">
        <v>2607</v>
      </c>
      <c r="I818" t="s">
        <v>2394</v>
      </c>
      <c r="J818" t="s">
        <v>28</v>
      </c>
      <c r="K818" t="s">
        <v>2405</v>
      </c>
      <c r="L818" t="s">
        <v>30</v>
      </c>
      <c r="M818" s="2" t="s">
        <v>30</v>
      </c>
    </row>
    <row r="819" spans="1:19" x14ac:dyDescent="0.25">
      <c r="A819" t="s">
        <v>2286</v>
      </c>
      <c r="B819" t="s">
        <v>2286</v>
      </c>
      <c r="C819" t="s">
        <v>2608</v>
      </c>
      <c r="E819" t="s">
        <v>2609</v>
      </c>
      <c r="F819" t="s">
        <v>2579</v>
      </c>
      <c r="H819" t="s">
        <v>2610</v>
      </c>
      <c r="I819" t="s">
        <v>2611</v>
      </c>
      <c r="J819" t="s">
        <v>28</v>
      </c>
      <c r="K819" t="s">
        <v>2405</v>
      </c>
      <c r="L819" t="s">
        <v>30</v>
      </c>
      <c r="M819" s="2" t="s">
        <v>30</v>
      </c>
    </row>
    <row r="820" spans="1:19" x14ac:dyDescent="0.25">
      <c r="A820" t="s">
        <v>2286</v>
      </c>
      <c r="B820" t="s">
        <v>2286</v>
      </c>
      <c r="C820" t="s">
        <v>2608</v>
      </c>
      <c r="E820" t="s">
        <v>2609</v>
      </c>
      <c r="F820" t="s">
        <v>2579</v>
      </c>
      <c r="H820" t="s">
        <v>2612</v>
      </c>
      <c r="I820" t="s">
        <v>2613</v>
      </c>
      <c r="J820" t="s">
        <v>28</v>
      </c>
      <c r="K820" t="s">
        <v>2298</v>
      </c>
      <c r="L820" t="s">
        <v>30</v>
      </c>
      <c r="M820" s="2" t="s">
        <v>30</v>
      </c>
      <c r="O820" t="s">
        <v>2614</v>
      </c>
      <c r="Q820" t="s">
        <v>2615</v>
      </c>
    </row>
    <row r="821" spans="1:19" x14ac:dyDescent="0.25">
      <c r="A821" t="s">
        <v>2286</v>
      </c>
      <c r="B821" t="s">
        <v>2286</v>
      </c>
      <c r="C821" t="s">
        <v>2616</v>
      </c>
      <c r="E821" t="s">
        <v>2617</v>
      </c>
      <c r="F821" t="s">
        <v>2579</v>
      </c>
      <c r="H821" t="s">
        <v>2618</v>
      </c>
      <c r="I821" t="s">
        <v>2619</v>
      </c>
      <c r="J821" t="s">
        <v>28</v>
      </c>
      <c r="K821" t="s">
        <v>2320</v>
      </c>
      <c r="L821" t="s">
        <v>30</v>
      </c>
      <c r="M821" s="2" t="s">
        <v>30</v>
      </c>
      <c r="O821" t="s">
        <v>2602</v>
      </c>
      <c r="R821" t="s">
        <v>2320</v>
      </c>
      <c r="S821" t="s">
        <v>2583</v>
      </c>
    </row>
    <row r="822" spans="1:19" x14ac:dyDescent="0.25">
      <c r="A822" t="s">
        <v>2286</v>
      </c>
      <c r="B822" t="s">
        <v>2286</v>
      </c>
      <c r="C822" t="s">
        <v>2616</v>
      </c>
      <c r="E822" t="s">
        <v>2617</v>
      </c>
      <c r="F822" t="s">
        <v>2579</v>
      </c>
      <c r="H822" t="s">
        <v>2620</v>
      </c>
      <c r="I822" t="s">
        <v>2621</v>
      </c>
      <c r="J822" t="s">
        <v>28</v>
      </c>
      <c r="K822" t="s">
        <v>2570</v>
      </c>
      <c r="L822" t="s">
        <v>30</v>
      </c>
      <c r="M822" s="2" t="s">
        <v>30</v>
      </c>
      <c r="O822" t="s">
        <v>2602</v>
      </c>
      <c r="R822" t="s">
        <v>2456</v>
      </c>
      <c r="S822" t="s">
        <v>2583</v>
      </c>
    </row>
    <row r="823" spans="1:19" x14ac:dyDescent="0.25">
      <c r="A823" t="s">
        <v>2286</v>
      </c>
      <c r="B823" t="s">
        <v>2286</v>
      </c>
      <c r="C823" t="s">
        <v>2616</v>
      </c>
      <c r="E823" t="s">
        <v>2617</v>
      </c>
      <c r="F823" t="s">
        <v>2579</v>
      </c>
      <c r="H823" t="s">
        <v>2622</v>
      </c>
      <c r="I823" t="s">
        <v>2623</v>
      </c>
      <c r="J823" t="s">
        <v>28</v>
      </c>
      <c r="K823" t="s">
        <v>2320</v>
      </c>
      <c r="L823" t="s">
        <v>30</v>
      </c>
      <c r="M823" s="2" t="s">
        <v>30</v>
      </c>
      <c r="O823" t="s">
        <v>2602</v>
      </c>
      <c r="R823" t="s">
        <v>2320</v>
      </c>
      <c r="S823" t="s">
        <v>2583</v>
      </c>
    </row>
    <row r="824" spans="1:19" x14ac:dyDescent="0.25">
      <c r="A824" t="s">
        <v>2286</v>
      </c>
      <c r="B824" t="s">
        <v>2286</v>
      </c>
      <c r="C824" t="s">
        <v>2616</v>
      </c>
      <c r="E824" t="s">
        <v>2617</v>
      </c>
      <c r="F824" t="s">
        <v>2579</v>
      </c>
      <c r="H824" t="s">
        <v>2624</v>
      </c>
      <c r="I824" t="s">
        <v>2625</v>
      </c>
      <c r="J824" t="s">
        <v>28</v>
      </c>
      <c r="K824" t="s">
        <v>2320</v>
      </c>
      <c r="L824" t="s">
        <v>30</v>
      </c>
      <c r="M824" s="2" t="s">
        <v>30</v>
      </c>
      <c r="O824" t="s">
        <v>2602</v>
      </c>
      <c r="R824" t="s">
        <v>2320</v>
      </c>
      <c r="S824" t="s">
        <v>2583</v>
      </c>
    </row>
    <row r="825" spans="1:19" x14ac:dyDescent="0.25">
      <c r="A825" t="s">
        <v>2286</v>
      </c>
      <c r="B825" t="s">
        <v>2286</v>
      </c>
      <c r="C825" t="s">
        <v>2616</v>
      </c>
      <c r="E825" t="s">
        <v>2617</v>
      </c>
      <c r="F825" t="s">
        <v>2579</v>
      </c>
      <c r="H825" t="s">
        <v>2626</v>
      </c>
      <c r="I825" t="s">
        <v>2627</v>
      </c>
      <c r="J825" t="s">
        <v>28</v>
      </c>
      <c r="K825" t="s">
        <v>2320</v>
      </c>
      <c r="L825" t="s">
        <v>30</v>
      </c>
      <c r="M825" s="2" t="s">
        <v>30</v>
      </c>
      <c r="O825" t="s">
        <v>2602</v>
      </c>
      <c r="R825" t="s">
        <v>2320</v>
      </c>
      <c r="S825" t="s">
        <v>2583</v>
      </c>
    </row>
    <row r="826" spans="1:19" x14ac:dyDescent="0.25">
      <c r="A826" t="s">
        <v>2286</v>
      </c>
      <c r="B826" t="s">
        <v>2286</v>
      </c>
      <c r="C826" t="s">
        <v>2628</v>
      </c>
      <c r="E826" t="s">
        <v>2629</v>
      </c>
      <c r="F826" t="s">
        <v>2630</v>
      </c>
      <c r="H826" t="s">
        <v>2631</v>
      </c>
      <c r="I826" t="s">
        <v>2632</v>
      </c>
      <c r="J826" t="s">
        <v>28</v>
      </c>
      <c r="K826" t="s">
        <v>29</v>
      </c>
      <c r="L826" t="s">
        <v>30</v>
      </c>
      <c r="M826" s="2" t="s">
        <v>30</v>
      </c>
      <c r="O826" t="s">
        <v>2633</v>
      </c>
      <c r="Q826" t="s">
        <v>2634</v>
      </c>
      <c r="R826" t="s">
        <v>2423</v>
      </c>
      <c r="S826" t="s">
        <v>2635</v>
      </c>
    </row>
    <row r="827" spans="1:19" x14ac:dyDescent="0.25">
      <c r="A827" t="s">
        <v>2286</v>
      </c>
      <c r="B827" t="s">
        <v>2286</v>
      </c>
      <c r="C827" t="s">
        <v>2628</v>
      </c>
      <c r="E827" t="s">
        <v>2629</v>
      </c>
      <c r="F827" t="s">
        <v>2630</v>
      </c>
      <c r="H827" t="s">
        <v>2636</v>
      </c>
      <c r="I827" t="s">
        <v>2470</v>
      </c>
      <c r="J827" t="s">
        <v>28</v>
      </c>
      <c r="K827" t="s">
        <v>2637</v>
      </c>
      <c r="L827" t="s">
        <v>30</v>
      </c>
      <c r="M827" s="2" t="s">
        <v>30</v>
      </c>
      <c r="O827" t="s">
        <v>2638</v>
      </c>
      <c r="R827" t="s">
        <v>2294</v>
      </c>
    </row>
    <row r="828" spans="1:19" x14ac:dyDescent="0.25">
      <c r="A828" t="s">
        <v>2286</v>
      </c>
      <c r="B828" t="s">
        <v>2286</v>
      </c>
      <c r="C828" t="s">
        <v>2628</v>
      </c>
      <c r="E828" t="s">
        <v>2629</v>
      </c>
      <c r="F828" t="s">
        <v>2630</v>
      </c>
      <c r="H828" t="s">
        <v>2639</v>
      </c>
      <c r="I828" t="s">
        <v>2472</v>
      </c>
      <c r="J828" t="s">
        <v>28</v>
      </c>
      <c r="K828" t="s">
        <v>2637</v>
      </c>
      <c r="L828" t="s">
        <v>30</v>
      </c>
      <c r="M828" s="2" t="s">
        <v>30</v>
      </c>
      <c r="O828" t="s">
        <v>2638</v>
      </c>
      <c r="R828" t="s">
        <v>2294</v>
      </c>
    </row>
    <row r="829" spans="1:19" x14ac:dyDescent="0.25">
      <c r="A829" t="s">
        <v>2286</v>
      </c>
      <c r="B829" t="s">
        <v>2286</v>
      </c>
      <c r="C829" t="s">
        <v>2628</v>
      </c>
      <c r="E829" t="s">
        <v>2629</v>
      </c>
      <c r="F829" t="s">
        <v>2630</v>
      </c>
      <c r="H829" t="s">
        <v>2640</v>
      </c>
      <c r="I829" t="s">
        <v>2474</v>
      </c>
      <c r="J829" t="s">
        <v>28</v>
      </c>
      <c r="K829" t="s">
        <v>2637</v>
      </c>
      <c r="L829" t="s">
        <v>30</v>
      </c>
      <c r="M829" s="2" t="s">
        <v>30</v>
      </c>
      <c r="O829" t="s">
        <v>2638</v>
      </c>
      <c r="R829" t="s">
        <v>2294</v>
      </c>
    </row>
    <row r="830" spans="1:19" x14ac:dyDescent="0.25">
      <c r="A830" t="s">
        <v>2286</v>
      </c>
      <c r="B830" t="s">
        <v>2286</v>
      </c>
      <c r="C830" t="s">
        <v>2628</v>
      </c>
      <c r="E830" t="s">
        <v>2629</v>
      </c>
      <c r="F830" t="s">
        <v>2630</v>
      </c>
      <c r="H830" t="s">
        <v>2641</v>
      </c>
      <c r="I830" t="s">
        <v>2642</v>
      </c>
      <c r="J830" t="s">
        <v>28</v>
      </c>
      <c r="K830" t="s">
        <v>2423</v>
      </c>
      <c r="L830" t="s">
        <v>30</v>
      </c>
      <c r="M830" s="2" t="s">
        <v>30</v>
      </c>
      <c r="O830" t="s">
        <v>2643</v>
      </c>
      <c r="Q830" t="s">
        <v>2644</v>
      </c>
      <c r="R830" t="s">
        <v>2423</v>
      </c>
    </row>
    <row r="831" spans="1:19" x14ac:dyDescent="0.25">
      <c r="A831" t="s">
        <v>2286</v>
      </c>
      <c r="B831" t="s">
        <v>2286</v>
      </c>
      <c r="C831" t="s">
        <v>2645</v>
      </c>
      <c r="E831" t="s">
        <v>2646</v>
      </c>
      <c r="F831" t="s">
        <v>2647</v>
      </c>
      <c r="H831" t="s">
        <v>2648</v>
      </c>
      <c r="I831" t="s">
        <v>2649</v>
      </c>
      <c r="J831" t="s">
        <v>28</v>
      </c>
      <c r="K831" t="s">
        <v>2451</v>
      </c>
      <c r="L831" t="s">
        <v>30</v>
      </c>
      <c r="M831" s="2" t="s">
        <v>30</v>
      </c>
    </row>
    <row r="832" spans="1:19" x14ac:dyDescent="0.25">
      <c r="A832" t="s">
        <v>2286</v>
      </c>
      <c r="B832" t="s">
        <v>2286</v>
      </c>
      <c r="C832" t="s">
        <v>2645</v>
      </c>
      <c r="E832" t="s">
        <v>2646</v>
      </c>
      <c r="F832" t="s">
        <v>2647</v>
      </c>
      <c r="H832" t="s">
        <v>2650</v>
      </c>
      <c r="I832" t="s">
        <v>2651</v>
      </c>
      <c r="J832" t="s">
        <v>28</v>
      </c>
      <c r="K832" t="s">
        <v>2423</v>
      </c>
      <c r="L832" t="s">
        <v>30</v>
      </c>
      <c r="M832" s="2" t="s">
        <v>30</v>
      </c>
      <c r="O832" t="s">
        <v>2652</v>
      </c>
      <c r="Q832" t="s">
        <v>2644</v>
      </c>
      <c r="R832" t="s">
        <v>2423</v>
      </c>
    </row>
    <row r="833" spans="1:19" x14ac:dyDescent="0.25">
      <c r="A833" t="s">
        <v>2286</v>
      </c>
      <c r="B833" t="s">
        <v>2286</v>
      </c>
      <c r="C833" t="s">
        <v>2653</v>
      </c>
      <c r="E833" t="s">
        <v>2654</v>
      </c>
      <c r="F833" t="s">
        <v>2655</v>
      </c>
      <c r="H833" t="s">
        <v>2656</v>
      </c>
      <c r="I833" t="s">
        <v>2657</v>
      </c>
      <c r="J833" t="s">
        <v>28</v>
      </c>
      <c r="K833" t="s">
        <v>2658</v>
      </c>
      <c r="L833" t="s">
        <v>30</v>
      </c>
      <c r="M833" s="2" t="s">
        <v>30</v>
      </c>
      <c r="O833" t="s">
        <v>2659</v>
      </c>
      <c r="R833" t="s">
        <v>2294</v>
      </c>
      <c r="S833" t="s">
        <v>2572</v>
      </c>
    </row>
    <row r="834" spans="1:19" x14ac:dyDescent="0.25">
      <c r="A834" t="s">
        <v>2286</v>
      </c>
      <c r="B834" t="s">
        <v>2286</v>
      </c>
      <c r="C834" t="s">
        <v>2653</v>
      </c>
      <c r="E834" t="s">
        <v>2654</v>
      </c>
      <c r="F834" t="s">
        <v>2655</v>
      </c>
      <c r="H834" t="s">
        <v>2660</v>
      </c>
      <c r="I834" t="s">
        <v>2661</v>
      </c>
      <c r="J834" t="s">
        <v>28</v>
      </c>
      <c r="K834" t="s">
        <v>2658</v>
      </c>
      <c r="L834" t="s">
        <v>30</v>
      </c>
      <c r="M834" s="2" t="s">
        <v>30</v>
      </c>
      <c r="O834" t="s">
        <v>2662</v>
      </c>
      <c r="Q834" t="s">
        <v>2328</v>
      </c>
      <c r="R834" t="s">
        <v>2294</v>
      </c>
      <c r="S834" t="s">
        <v>2572</v>
      </c>
    </row>
    <row r="835" spans="1:19" x14ac:dyDescent="0.25">
      <c r="A835" t="s">
        <v>2286</v>
      </c>
      <c r="B835" t="s">
        <v>2286</v>
      </c>
      <c r="C835" t="s">
        <v>2653</v>
      </c>
      <c r="E835" t="s">
        <v>2654</v>
      </c>
      <c r="F835" t="s">
        <v>2655</v>
      </c>
      <c r="H835" t="s">
        <v>2663</v>
      </c>
      <c r="I835" t="s">
        <v>2664</v>
      </c>
      <c r="J835" t="s">
        <v>28</v>
      </c>
      <c r="K835" t="s">
        <v>2665</v>
      </c>
      <c r="L835" t="s">
        <v>30</v>
      </c>
      <c r="M835" s="2" t="s">
        <v>30</v>
      </c>
      <c r="O835" t="s">
        <v>2666</v>
      </c>
      <c r="P835" t="s">
        <v>126</v>
      </c>
      <c r="Q835" t="s">
        <v>2667</v>
      </c>
      <c r="R835" t="s">
        <v>2306</v>
      </c>
      <c r="S835" t="s">
        <v>2572</v>
      </c>
    </row>
    <row r="836" spans="1:19" x14ac:dyDescent="0.25">
      <c r="A836" t="s">
        <v>2286</v>
      </c>
      <c r="B836" t="s">
        <v>2286</v>
      </c>
      <c r="C836" t="s">
        <v>2653</v>
      </c>
      <c r="E836" t="s">
        <v>2654</v>
      </c>
      <c r="F836" t="s">
        <v>2655</v>
      </c>
      <c r="H836" t="s">
        <v>2668</v>
      </c>
      <c r="I836" t="s">
        <v>2669</v>
      </c>
      <c r="J836" t="s">
        <v>28</v>
      </c>
      <c r="K836" t="s">
        <v>2658</v>
      </c>
      <c r="L836" t="s">
        <v>30</v>
      </c>
      <c r="M836" s="2" t="s">
        <v>30</v>
      </c>
      <c r="O836" t="s">
        <v>2670</v>
      </c>
      <c r="Q836" t="s">
        <v>2328</v>
      </c>
      <c r="R836" t="s">
        <v>2294</v>
      </c>
      <c r="S836" t="s">
        <v>2572</v>
      </c>
    </row>
    <row r="837" spans="1:19" x14ac:dyDescent="0.25">
      <c r="A837" t="s">
        <v>2286</v>
      </c>
      <c r="B837" t="s">
        <v>2286</v>
      </c>
      <c r="C837" t="s">
        <v>2653</v>
      </c>
      <c r="E837" t="s">
        <v>2654</v>
      </c>
      <c r="F837" t="s">
        <v>2655</v>
      </c>
      <c r="H837" t="s">
        <v>2671</v>
      </c>
      <c r="I837" t="s">
        <v>2672</v>
      </c>
      <c r="J837" t="s">
        <v>28</v>
      </c>
      <c r="K837" t="s">
        <v>2658</v>
      </c>
      <c r="L837" t="s">
        <v>30</v>
      </c>
      <c r="M837" s="2" t="s">
        <v>30</v>
      </c>
      <c r="O837" t="s">
        <v>2673</v>
      </c>
      <c r="R837" t="s">
        <v>2294</v>
      </c>
      <c r="S837" t="s">
        <v>2572</v>
      </c>
    </row>
    <row r="838" spans="1:19" x14ac:dyDescent="0.25">
      <c r="A838" t="s">
        <v>2286</v>
      </c>
      <c r="B838" t="s">
        <v>2286</v>
      </c>
      <c r="C838" t="s">
        <v>2674</v>
      </c>
      <c r="E838" t="s">
        <v>2675</v>
      </c>
      <c r="F838" t="s">
        <v>2676</v>
      </c>
      <c r="H838" t="s">
        <v>2677</v>
      </c>
      <c r="I838" t="s">
        <v>2678</v>
      </c>
      <c r="J838" t="s">
        <v>28</v>
      </c>
      <c r="K838" t="s">
        <v>2528</v>
      </c>
      <c r="L838" t="s">
        <v>30</v>
      </c>
      <c r="M838" s="2" t="s">
        <v>30</v>
      </c>
      <c r="O838" t="s">
        <v>2679</v>
      </c>
    </row>
    <row r="839" spans="1:19" x14ac:dyDescent="0.25">
      <c r="A839" t="s">
        <v>2286</v>
      </c>
      <c r="B839" t="s">
        <v>2286</v>
      </c>
      <c r="C839" t="s">
        <v>2680</v>
      </c>
      <c r="E839" t="s">
        <v>2681</v>
      </c>
      <c r="F839" t="s">
        <v>2682</v>
      </c>
      <c r="H839" t="s">
        <v>2683</v>
      </c>
      <c r="I839" t="s">
        <v>2527</v>
      </c>
      <c r="J839" t="s">
        <v>28</v>
      </c>
      <c r="K839" t="s">
        <v>2553</v>
      </c>
      <c r="L839" t="s">
        <v>30</v>
      </c>
      <c r="M839" s="2" t="s">
        <v>30</v>
      </c>
      <c r="O839" t="s">
        <v>2684</v>
      </c>
      <c r="Q839" t="s">
        <v>2685</v>
      </c>
      <c r="R839" t="s">
        <v>2415</v>
      </c>
    </row>
    <row r="840" spans="1:19" x14ac:dyDescent="0.25">
      <c r="A840" t="s">
        <v>2286</v>
      </c>
      <c r="B840" t="s">
        <v>2286</v>
      </c>
      <c r="C840" t="s">
        <v>2680</v>
      </c>
      <c r="E840" t="s">
        <v>2681</v>
      </c>
      <c r="F840" t="s">
        <v>2682</v>
      </c>
      <c r="H840" t="s">
        <v>2686</v>
      </c>
      <c r="I840" t="s">
        <v>2532</v>
      </c>
      <c r="J840" t="s">
        <v>28</v>
      </c>
      <c r="K840" t="s">
        <v>2553</v>
      </c>
      <c r="L840" t="s">
        <v>30</v>
      </c>
      <c r="M840" s="2" t="s">
        <v>30</v>
      </c>
      <c r="O840" t="s">
        <v>2659</v>
      </c>
      <c r="Q840" t="s">
        <v>2687</v>
      </c>
      <c r="R840" t="s">
        <v>2415</v>
      </c>
    </row>
    <row r="841" spans="1:19" x14ac:dyDescent="0.25">
      <c r="A841" t="s">
        <v>2286</v>
      </c>
      <c r="B841" t="s">
        <v>2286</v>
      </c>
      <c r="C841" t="s">
        <v>2680</v>
      </c>
      <c r="E841" t="s">
        <v>2681</v>
      </c>
      <c r="F841" t="s">
        <v>2682</v>
      </c>
      <c r="H841" t="s">
        <v>2688</v>
      </c>
      <c r="I841" t="s">
        <v>2535</v>
      </c>
      <c r="J841" t="s">
        <v>28</v>
      </c>
      <c r="K841" t="s">
        <v>2658</v>
      </c>
      <c r="L841" t="s">
        <v>30</v>
      </c>
      <c r="M841" s="2" t="s">
        <v>30</v>
      </c>
      <c r="O841" t="s">
        <v>2659</v>
      </c>
      <c r="R841" t="s">
        <v>2294</v>
      </c>
      <c r="S841" t="s">
        <v>2572</v>
      </c>
    </row>
    <row r="842" spans="1:19" x14ac:dyDescent="0.25">
      <c r="A842" t="s">
        <v>2286</v>
      </c>
      <c r="B842" t="s">
        <v>2286</v>
      </c>
      <c r="C842" t="s">
        <v>2680</v>
      </c>
      <c r="E842" t="s">
        <v>2681</v>
      </c>
      <c r="F842" t="s">
        <v>2682</v>
      </c>
      <c r="H842" t="s">
        <v>2689</v>
      </c>
      <c r="I842" t="s">
        <v>2540</v>
      </c>
      <c r="J842" t="s">
        <v>28</v>
      </c>
      <c r="K842" t="s">
        <v>2690</v>
      </c>
      <c r="L842" t="s">
        <v>30</v>
      </c>
      <c r="M842" s="2" t="s">
        <v>30</v>
      </c>
      <c r="O842" t="s">
        <v>2659</v>
      </c>
      <c r="R842" t="s">
        <v>2294</v>
      </c>
      <c r="S842" t="s">
        <v>2572</v>
      </c>
    </row>
    <row r="843" spans="1:19" x14ac:dyDescent="0.25">
      <c r="A843" t="s">
        <v>2286</v>
      </c>
      <c r="B843" t="s">
        <v>2286</v>
      </c>
      <c r="C843" t="s">
        <v>2680</v>
      </c>
      <c r="E843" t="s">
        <v>2681</v>
      </c>
      <c r="F843" t="s">
        <v>2682</v>
      </c>
      <c r="H843" t="s">
        <v>2691</v>
      </c>
      <c r="I843" t="s">
        <v>2542</v>
      </c>
      <c r="J843" t="s">
        <v>28</v>
      </c>
      <c r="K843" t="s">
        <v>2690</v>
      </c>
      <c r="L843" t="s">
        <v>30</v>
      </c>
      <c r="M843" s="2" t="s">
        <v>30</v>
      </c>
      <c r="O843" t="s">
        <v>2659</v>
      </c>
      <c r="R843" t="s">
        <v>2294</v>
      </c>
      <c r="S843" t="s">
        <v>2572</v>
      </c>
    </row>
    <row r="844" spans="1:19" x14ac:dyDescent="0.25">
      <c r="A844" t="s">
        <v>2286</v>
      </c>
      <c r="B844" t="s">
        <v>2286</v>
      </c>
      <c r="C844" t="s">
        <v>2680</v>
      </c>
      <c r="E844" t="s">
        <v>2681</v>
      </c>
      <c r="F844" t="s">
        <v>2682</v>
      </c>
      <c r="H844" t="s">
        <v>2692</v>
      </c>
      <c r="I844" t="s">
        <v>2544</v>
      </c>
      <c r="J844" t="s">
        <v>28</v>
      </c>
      <c r="K844" t="s">
        <v>2690</v>
      </c>
      <c r="L844" t="s">
        <v>30</v>
      </c>
      <c r="M844" s="2" t="s">
        <v>30</v>
      </c>
      <c r="O844" t="s">
        <v>2659</v>
      </c>
      <c r="R844" t="s">
        <v>2294</v>
      </c>
      <c r="S844" t="s">
        <v>2572</v>
      </c>
    </row>
    <row r="845" spans="1:19" x14ac:dyDescent="0.25">
      <c r="A845" t="s">
        <v>2286</v>
      </c>
      <c r="B845" t="s">
        <v>2286</v>
      </c>
      <c r="C845" t="s">
        <v>2680</v>
      </c>
      <c r="E845" t="s">
        <v>2681</v>
      </c>
      <c r="F845" t="s">
        <v>2682</v>
      </c>
      <c r="H845" t="s">
        <v>2693</v>
      </c>
      <c r="I845" t="s">
        <v>2546</v>
      </c>
      <c r="J845" t="s">
        <v>28</v>
      </c>
      <c r="K845" t="s">
        <v>2690</v>
      </c>
      <c r="L845" t="s">
        <v>30</v>
      </c>
      <c r="M845" s="2" t="s">
        <v>30</v>
      </c>
      <c r="O845" t="s">
        <v>2659</v>
      </c>
      <c r="R845" t="s">
        <v>2294</v>
      </c>
      <c r="S845" t="s">
        <v>2572</v>
      </c>
    </row>
    <row r="846" spans="1:19" x14ac:dyDescent="0.25">
      <c r="A846" t="s">
        <v>2286</v>
      </c>
      <c r="B846" t="s">
        <v>2286</v>
      </c>
      <c r="C846" t="s">
        <v>2680</v>
      </c>
      <c r="E846" t="s">
        <v>2681</v>
      </c>
      <c r="F846" t="s">
        <v>2682</v>
      </c>
      <c r="H846" t="s">
        <v>2694</v>
      </c>
      <c r="I846" t="s">
        <v>2549</v>
      </c>
      <c r="J846" t="s">
        <v>28</v>
      </c>
      <c r="K846" t="s">
        <v>2423</v>
      </c>
      <c r="L846" t="s">
        <v>30</v>
      </c>
      <c r="M846" s="2" t="s">
        <v>30</v>
      </c>
      <c r="O846" t="s">
        <v>2695</v>
      </c>
      <c r="Q846" t="s">
        <v>2328</v>
      </c>
      <c r="R846" t="s">
        <v>2423</v>
      </c>
      <c r="S846" t="s">
        <v>2572</v>
      </c>
    </row>
    <row r="847" spans="1:19" x14ac:dyDescent="0.25">
      <c r="A847" t="s">
        <v>2286</v>
      </c>
      <c r="B847" t="s">
        <v>2286</v>
      </c>
      <c r="C847" t="s">
        <v>2680</v>
      </c>
      <c r="E847" t="s">
        <v>2681</v>
      </c>
      <c r="F847" t="s">
        <v>2682</v>
      </c>
      <c r="H847" t="s">
        <v>2696</v>
      </c>
      <c r="I847" t="s">
        <v>2697</v>
      </c>
      <c r="J847" t="s">
        <v>28</v>
      </c>
      <c r="K847" t="s">
        <v>2423</v>
      </c>
      <c r="L847" t="s">
        <v>30</v>
      </c>
      <c r="M847" s="2" t="s">
        <v>30</v>
      </c>
      <c r="O847" t="s">
        <v>2659</v>
      </c>
      <c r="Q847" t="s">
        <v>2328</v>
      </c>
      <c r="R847" t="s">
        <v>2423</v>
      </c>
    </row>
    <row r="848" spans="1:19" x14ac:dyDescent="0.25">
      <c r="A848" t="s">
        <v>2286</v>
      </c>
      <c r="B848" t="s">
        <v>2286</v>
      </c>
      <c r="C848" t="s">
        <v>2680</v>
      </c>
      <c r="E848" t="s">
        <v>2681</v>
      </c>
      <c r="F848" t="s">
        <v>2682</v>
      </c>
      <c r="H848" t="s">
        <v>2698</v>
      </c>
      <c r="I848" t="s">
        <v>2562</v>
      </c>
      <c r="J848" t="s">
        <v>28</v>
      </c>
      <c r="K848" t="s">
        <v>2423</v>
      </c>
      <c r="L848" t="s">
        <v>30</v>
      </c>
      <c r="M848" s="2" t="s">
        <v>30</v>
      </c>
      <c r="O848" t="s">
        <v>2659</v>
      </c>
      <c r="Q848" t="s">
        <v>2328</v>
      </c>
      <c r="R848" t="s">
        <v>2423</v>
      </c>
    </row>
    <row r="849" spans="1:19" x14ac:dyDescent="0.25">
      <c r="A849" t="s">
        <v>2286</v>
      </c>
      <c r="B849" t="s">
        <v>2286</v>
      </c>
      <c r="C849" t="s">
        <v>2699</v>
      </c>
      <c r="E849" t="s">
        <v>2700</v>
      </c>
      <c r="F849" t="s">
        <v>2701</v>
      </c>
      <c r="H849" t="s">
        <v>2702</v>
      </c>
      <c r="I849" t="s">
        <v>2703</v>
      </c>
      <c r="J849" t="s">
        <v>28</v>
      </c>
      <c r="K849" t="s">
        <v>2423</v>
      </c>
      <c r="L849" t="s">
        <v>30</v>
      </c>
      <c r="M849" s="2" t="s">
        <v>30</v>
      </c>
      <c r="O849" t="s">
        <v>2704</v>
      </c>
      <c r="Q849" t="s">
        <v>2490</v>
      </c>
      <c r="R849" t="s">
        <v>2415</v>
      </c>
    </row>
    <row r="850" spans="1:19" x14ac:dyDescent="0.25">
      <c r="A850" t="s">
        <v>2286</v>
      </c>
      <c r="B850" t="s">
        <v>2286</v>
      </c>
      <c r="C850" t="s">
        <v>2699</v>
      </c>
      <c r="E850" t="s">
        <v>2700</v>
      </c>
      <c r="F850" t="s">
        <v>2701</v>
      </c>
      <c r="H850" t="s">
        <v>2705</v>
      </c>
      <c r="I850" t="s">
        <v>2706</v>
      </c>
      <c r="J850" t="s">
        <v>28</v>
      </c>
      <c r="K850" t="s">
        <v>2658</v>
      </c>
      <c r="L850" t="s">
        <v>30</v>
      </c>
      <c r="M850" s="2" t="s">
        <v>30</v>
      </c>
      <c r="O850" t="s">
        <v>2707</v>
      </c>
      <c r="R850" t="s">
        <v>2294</v>
      </c>
      <c r="S850" t="s">
        <v>2572</v>
      </c>
    </row>
    <row r="851" spans="1:19" x14ac:dyDescent="0.25">
      <c r="A851" t="s">
        <v>2286</v>
      </c>
      <c r="B851" t="s">
        <v>2286</v>
      </c>
      <c r="C851" t="s">
        <v>2699</v>
      </c>
      <c r="E851" t="s">
        <v>2700</v>
      </c>
      <c r="F851" t="s">
        <v>2701</v>
      </c>
      <c r="H851" t="s">
        <v>2708</v>
      </c>
      <c r="I851" t="s">
        <v>2709</v>
      </c>
      <c r="J851" t="s">
        <v>28</v>
      </c>
      <c r="K851" t="s">
        <v>2658</v>
      </c>
      <c r="L851" t="s">
        <v>30</v>
      </c>
      <c r="M851" s="2" t="s">
        <v>30</v>
      </c>
      <c r="O851" t="s">
        <v>2707</v>
      </c>
      <c r="R851" t="s">
        <v>2294</v>
      </c>
      <c r="S851" t="s">
        <v>2572</v>
      </c>
    </row>
    <row r="852" spans="1:19" x14ac:dyDescent="0.25">
      <c r="A852" t="s">
        <v>2286</v>
      </c>
      <c r="B852" t="s">
        <v>2286</v>
      </c>
      <c r="C852" t="s">
        <v>2699</v>
      </c>
      <c r="E852" t="s">
        <v>2700</v>
      </c>
      <c r="F852" t="s">
        <v>2701</v>
      </c>
      <c r="H852" t="s">
        <v>2710</v>
      </c>
      <c r="I852" t="s">
        <v>2711</v>
      </c>
      <c r="J852" t="s">
        <v>28</v>
      </c>
      <c r="K852" t="s">
        <v>2658</v>
      </c>
      <c r="L852" t="s">
        <v>30</v>
      </c>
      <c r="M852" s="2" t="s">
        <v>30</v>
      </c>
      <c r="O852" t="s">
        <v>2707</v>
      </c>
      <c r="R852" t="s">
        <v>2294</v>
      </c>
      <c r="S852" t="s">
        <v>2572</v>
      </c>
    </row>
    <row r="853" spans="1:19" x14ac:dyDescent="0.25">
      <c r="A853" t="s">
        <v>2286</v>
      </c>
      <c r="B853" t="s">
        <v>2286</v>
      </c>
      <c r="C853" t="s">
        <v>2699</v>
      </c>
      <c r="E853" t="s">
        <v>2700</v>
      </c>
      <c r="F853" t="s">
        <v>2701</v>
      </c>
      <c r="H853" t="s">
        <v>2712</v>
      </c>
      <c r="I853" t="s">
        <v>2713</v>
      </c>
      <c r="J853" t="s">
        <v>28</v>
      </c>
      <c r="K853" t="s">
        <v>2658</v>
      </c>
      <c r="L853" t="s">
        <v>30</v>
      </c>
      <c r="M853" s="2" t="s">
        <v>30</v>
      </c>
      <c r="O853" t="s">
        <v>2707</v>
      </c>
      <c r="R853" t="s">
        <v>2294</v>
      </c>
      <c r="S853" t="s">
        <v>2572</v>
      </c>
    </row>
    <row r="854" spans="1:19" x14ac:dyDescent="0.25">
      <c r="A854" t="s">
        <v>2286</v>
      </c>
      <c r="B854" t="s">
        <v>2286</v>
      </c>
      <c r="C854" t="s">
        <v>2699</v>
      </c>
      <c r="E854" t="s">
        <v>2700</v>
      </c>
      <c r="F854" t="s">
        <v>2701</v>
      </c>
      <c r="H854" t="s">
        <v>2714</v>
      </c>
      <c r="I854" t="s">
        <v>2715</v>
      </c>
      <c r="J854" t="s">
        <v>28</v>
      </c>
      <c r="K854" t="s">
        <v>2658</v>
      </c>
      <c r="L854" t="s">
        <v>30</v>
      </c>
      <c r="M854" s="2" t="s">
        <v>30</v>
      </c>
      <c r="O854" t="s">
        <v>2707</v>
      </c>
      <c r="R854" t="s">
        <v>2294</v>
      </c>
      <c r="S854" t="s">
        <v>2572</v>
      </c>
    </row>
    <row r="855" spans="1:19" x14ac:dyDescent="0.25">
      <c r="A855" t="s">
        <v>2286</v>
      </c>
      <c r="B855" t="s">
        <v>2286</v>
      </c>
      <c r="C855" t="s">
        <v>2699</v>
      </c>
      <c r="E855" t="s">
        <v>2700</v>
      </c>
      <c r="F855" t="s">
        <v>2701</v>
      </c>
      <c r="H855" t="s">
        <v>2716</v>
      </c>
      <c r="I855" t="s">
        <v>2717</v>
      </c>
      <c r="J855" t="s">
        <v>28</v>
      </c>
      <c r="K855" t="s">
        <v>2423</v>
      </c>
      <c r="L855" t="s">
        <v>30</v>
      </c>
      <c r="M855" s="2" t="s">
        <v>30</v>
      </c>
      <c r="O855" t="s">
        <v>2707</v>
      </c>
      <c r="Q855" t="s">
        <v>2718</v>
      </c>
      <c r="R855" t="s">
        <v>2423</v>
      </c>
    </row>
    <row r="856" spans="1:19" x14ac:dyDescent="0.25">
      <c r="A856" t="s">
        <v>2286</v>
      </c>
      <c r="B856" t="s">
        <v>2286</v>
      </c>
      <c r="C856" t="s">
        <v>2699</v>
      </c>
      <c r="E856" t="s">
        <v>2700</v>
      </c>
      <c r="F856" t="s">
        <v>2701</v>
      </c>
      <c r="H856" t="s">
        <v>2719</v>
      </c>
      <c r="I856" t="s">
        <v>2720</v>
      </c>
      <c r="J856" t="s">
        <v>28</v>
      </c>
      <c r="K856" t="s">
        <v>2721</v>
      </c>
      <c r="L856" t="s">
        <v>30</v>
      </c>
      <c r="M856" s="2" t="s">
        <v>30</v>
      </c>
      <c r="O856" t="s">
        <v>2707</v>
      </c>
      <c r="R856" t="s">
        <v>2722</v>
      </c>
    </row>
    <row r="857" spans="1:19" x14ac:dyDescent="0.25">
      <c r="A857" t="s">
        <v>2286</v>
      </c>
      <c r="B857" t="s">
        <v>2286</v>
      </c>
      <c r="C857" t="s">
        <v>2723</v>
      </c>
      <c r="E857" t="s">
        <v>2724</v>
      </c>
      <c r="F857" t="s">
        <v>1089</v>
      </c>
      <c r="H857" t="s">
        <v>2725</v>
      </c>
      <c r="I857" t="s">
        <v>2726</v>
      </c>
      <c r="J857" t="s">
        <v>28</v>
      </c>
      <c r="K857" t="s">
        <v>2354</v>
      </c>
      <c r="L857" t="s">
        <v>30</v>
      </c>
      <c r="M857" s="2" t="s">
        <v>30</v>
      </c>
      <c r="O857" t="s">
        <v>2727</v>
      </c>
    </row>
    <row r="858" spans="1:19" x14ac:dyDescent="0.25">
      <c r="A858" t="s">
        <v>2286</v>
      </c>
      <c r="B858" t="s">
        <v>2286</v>
      </c>
      <c r="C858" t="s">
        <v>2728</v>
      </c>
      <c r="E858" t="s">
        <v>2729</v>
      </c>
      <c r="F858" t="s">
        <v>1089</v>
      </c>
      <c r="H858" t="s">
        <v>2730</v>
      </c>
      <c r="I858" t="s">
        <v>2731</v>
      </c>
      <c r="J858" t="s">
        <v>28</v>
      </c>
      <c r="K858" t="s">
        <v>2298</v>
      </c>
      <c r="L858" t="s">
        <v>623</v>
      </c>
      <c r="M858" s="6" t="s">
        <v>373</v>
      </c>
      <c r="O858" t="s">
        <v>2732</v>
      </c>
    </row>
    <row r="859" spans="1:19" x14ac:dyDescent="0.25">
      <c r="A859" t="s">
        <v>2286</v>
      </c>
      <c r="B859" t="s">
        <v>2286</v>
      </c>
      <c r="C859" t="s">
        <v>2728</v>
      </c>
      <c r="E859" t="s">
        <v>2729</v>
      </c>
      <c r="F859" t="s">
        <v>1089</v>
      </c>
      <c r="H859" t="s">
        <v>2733</v>
      </c>
      <c r="I859" t="s">
        <v>2734</v>
      </c>
      <c r="J859" t="s">
        <v>28</v>
      </c>
      <c r="K859" t="s">
        <v>2298</v>
      </c>
      <c r="L859" s="2" t="s">
        <v>30</v>
      </c>
      <c r="M859" s="2" t="s">
        <v>30</v>
      </c>
      <c r="O859" t="s">
        <v>2732</v>
      </c>
    </row>
    <row r="860" spans="1:19" x14ac:dyDescent="0.25">
      <c r="A860" t="s">
        <v>2286</v>
      </c>
      <c r="B860" t="s">
        <v>2286</v>
      </c>
      <c r="C860" t="s">
        <v>2728</v>
      </c>
      <c r="E860" t="s">
        <v>2729</v>
      </c>
      <c r="F860" t="s">
        <v>1089</v>
      </c>
      <c r="H860" t="s">
        <v>2735</v>
      </c>
      <c r="I860" t="s">
        <v>2736</v>
      </c>
      <c r="J860" t="s">
        <v>28</v>
      </c>
      <c r="K860" t="s">
        <v>2298</v>
      </c>
      <c r="L860" s="2" t="s">
        <v>30</v>
      </c>
      <c r="M860" s="2" t="s">
        <v>30</v>
      </c>
      <c r="O860" t="s">
        <v>2732</v>
      </c>
    </row>
    <row r="861" spans="1:19" x14ac:dyDescent="0.25">
      <c r="A861" t="s">
        <v>2286</v>
      </c>
      <c r="B861" t="s">
        <v>2286</v>
      </c>
      <c r="C861" t="s">
        <v>2737</v>
      </c>
      <c r="E861" t="s">
        <v>2738</v>
      </c>
      <c r="F861" t="s">
        <v>2739</v>
      </c>
      <c r="H861" t="s">
        <v>2740</v>
      </c>
      <c r="I861" t="s">
        <v>2741</v>
      </c>
      <c r="J861" t="s">
        <v>28</v>
      </c>
      <c r="K861" t="s">
        <v>2405</v>
      </c>
      <c r="L861" t="s">
        <v>30</v>
      </c>
      <c r="M861" s="2" t="s">
        <v>30</v>
      </c>
    </row>
    <row r="862" spans="1:19" x14ac:dyDescent="0.25">
      <c r="A862" t="s">
        <v>2286</v>
      </c>
      <c r="B862" t="s">
        <v>2286</v>
      </c>
      <c r="C862" t="s">
        <v>2742</v>
      </c>
      <c r="E862" t="s">
        <v>2743</v>
      </c>
      <c r="F862" t="s">
        <v>2739</v>
      </c>
      <c r="H862" t="s">
        <v>2744</v>
      </c>
      <c r="I862" t="s">
        <v>2745</v>
      </c>
      <c r="J862" t="s">
        <v>28</v>
      </c>
      <c r="K862" t="s">
        <v>2746</v>
      </c>
      <c r="L862" t="s">
        <v>30</v>
      </c>
      <c r="M862" s="2" t="s">
        <v>30</v>
      </c>
      <c r="O862" t="s">
        <v>2747</v>
      </c>
      <c r="R862" t="s">
        <v>2722</v>
      </c>
      <c r="S862" t="s">
        <v>2748</v>
      </c>
    </row>
    <row r="863" spans="1:19" x14ac:dyDescent="0.25">
      <c r="A863" t="s">
        <v>2286</v>
      </c>
      <c r="B863" t="s">
        <v>2286</v>
      </c>
      <c r="C863" t="s">
        <v>2742</v>
      </c>
      <c r="E863" t="s">
        <v>2743</v>
      </c>
      <c r="F863" t="s">
        <v>2739</v>
      </c>
      <c r="H863" t="s">
        <v>2749</v>
      </c>
      <c r="I863" t="s">
        <v>2750</v>
      </c>
      <c r="J863" t="s">
        <v>28</v>
      </c>
      <c r="L863" t="s">
        <v>52</v>
      </c>
      <c r="M863" s="3" t="s">
        <v>52</v>
      </c>
      <c r="O863" t="s">
        <v>2751</v>
      </c>
    </row>
    <row r="864" spans="1:19" x14ac:dyDescent="0.25">
      <c r="A864" t="s">
        <v>2286</v>
      </c>
      <c r="B864" t="s">
        <v>2286</v>
      </c>
      <c r="C864" t="s">
        <v>2742</v>
      </c>
      <c r="E864" t="s">
        <v>2743</v>
      </c>
      <c r="F864" t="s">
        <v>2739</v>
      </c>
      <c r="H864" t="s">
        <v>2752</v>
      </c>
      <c r="I864" t="s">
        <v>2753</v>
      </c>
      <c r="J864" t="s">
        <v>28</v>
      </c>
      <c r="K864" t="s">
        <v>2337</v>
      </c>
      <c r="L864" t="s">
        <v>30</v>
      </c>
      <c r="M864" s="2" t="s">
        <v>30</v>
      </c>
    </row>
    <row r="865" spans="1:18" x14ac:dyDescent="0.25">
      <c r="A865" t="s">
        <v>2286</v>
      </c>
      <c r="B865" t="s">
        <v>2286</v>
      </c>
      <c r="C865" t="s">
        <v>2742</v>
      </c>
      <c r="E865" t="s">
        <v>2743</v>
      </c>
      <c r="F865" t="s">
        <v>2739</v>
      </c>
      <c r="H865" t="s">
        <v>2754</v>
      </c>
      <c r="I865" t="s">
        <v>2755</v>
      </c>
      <c r="J865" t="s">
        <v>28</v>
      </c>
      <c r="K865" t="s">
        <v>2337</v>
      </c>
      <c r="L865" t="s">
        <v>30</v>
      </c>
      <c r="M865" s="2" t="s">
        <v>30</v>
      </c>
    </row>
    <row r="866" spans="1:18" x14ac:dyDescent="0.25">
      <c r="A866" t="s">
        <v>2286</v>
      </c>
      <c r="B866" t="s">
        <v>2286</v>
      </c>
      <c r="C866" t="s">
        <v>2742</v>
      </c>
      <c r="E866" t="s">
        <v>2743</v>
      </c>
      <c r="F866" t="s">
        <v>2739</v>
      </c>
      <c r="H866" t="s">
        <v>2756</v>
      </c>
      <c r="I866" t="s">
        <v>2757</v>
      </c>
      <c r="J866" t="s">
        <v>28</v>
      </c>
      <c r="K866" t="s">
        <v>2337</v>
      </c>
      <c r="L866" t="s">
        <v>30</v>
      </c>
      <c r="M866" s="2" t="s">
        <v>30</v>
      </c>
    </row>
    <row r="867" spans="1:18" x14ac:dyDescent="0.25">
      <c r="A867" t="s">
        <v>2286</v>
      </c>
      <c r="B867" t="s">
        <v>2286</v>
      </c>
      <c r="C867" t="s">
        <v>2742</v>
      </c>
      <c r="E867" t="s">
        <v>2743</v>
      </c>
      <c r="F867" t="s">
        <v>2739</v>
      </c>
      <c r="H867" t="s">
        <v>2758</v>
      </c>
      <c r="I867" t="s">
        <v>2759</v>
      </c>
      <c r="J867" t="s">
        <v>28</v>
      </c>
      <c r="K867" t="s">
        <v>2320</v>
      </c>
      <c r="L867" t="s">
        <v>30</v>
      </c>
      <c r="M867" s="2" t="s">
        <v>30</v>
      </c>
      <c r="O867" t="s">
        <v>2760</v>
      </c>
      <c r="R867" t="s">
        <v>2320</v>
      </c>
    </row>
    <row r="868" spans="1:18" x14ac:dyDescent="0.25">
      <c r="A868" t="s">
        <v>2286</v>
      </c>
      <c r="B868" t="s">
        <v>2286</v>
      </c>
      <c r="C868" t="s">
        <v>2761</v>
      </c>
      <c r="E868" t="s">
        <v>2762</v>
      </c>
      <c r="F868" t="s">
        <v>2739</v>
      </c>
      <c r="H868" t="s">
        <v>2763</v>
      </c>
      <c r="I868" t="s">
        <v>2764</v>
      </c>
      <c r="J868" t="s">
        <v>28</v>
      </c>
      <c r="K868" t="s">
        <v>2746</v>
      </c>
      <c r="L868" t="s">
        <v>30</v>
      </c>
      <c r="M868" s="2" t="s">
        <v>30</v>
      </c>
      <c r="O868" t="s">
        <v>2765</v>
      </c>
      <c r="R868" t="s">
        <v>2722</v>
      </c>
    </row>
    <row r="869" spans="1:18" x14ac:dyDescent="0.25">
      <c r="A869" t="s">
        <v>2286</v>
      </c>
      <c r="B869" t="s">
        <v>2286</v>
      </c>
      <c r="C869" t="s">
        <v>2761</v>
      </c>
      <c r="E869" t="s">
        <v>2762</v>
      </c>
      <c r="F869" t="s">
        <v>2739</v>
      </c>
      <c r="H869" t="s">
        <v>2766</v>
      </c>
      <c r="I869" t="s">
        <v>2410</v>
      </c>
      <c r="J869" t="s">
        <v>28</v>
      </c>
      <c r="K869" t="s">
        <v>2451</v>
      </c>
      <c r="L869" t="s">
        <v>30</v>
      </c>
      <c r="M869" s="2" t="s">
        <v>30</v>
      </c>
    </row>
    <row r="870" spans="1:18" x14ac:dyDescent="0.25">
      <c r="A870" t="s">
        <v>2286</v>
      </c>
      <c r="B870" t="s">
        <v>2286</v>
      </c>
      <c r="C870" t="s">
        <v>2761</v>
      </c>
      <c r="E870" t="s">
        <v>2762</v>
      </c>
      <c r="F870" t="s">
        <v>2739</v>
      </c>
      <c r="H870" t="s">
        <v>2767</v>
      </c>
      <c r="I870" t="s">
        <v>2412</v>
      </c>
      <c r="J870" t="s">
        <v>28</v>
      </c>
      <c r="K870" t="s">
        <v>2451</v>
      </c>
      <c r="L870" t="s">
        <v>30</v>
      </c>
      <c r="M870" s="2" t="s">
        <v>30</v>
      </c>
    </row>
    <row r="871" spans="1:18" x14ac:dyDescent="0.25">
      <c r="A871" t="s">
        <v>2286</v>
      </c>
      <c r="B871" t="s">
        <v>2286</v>
      </c>
      <c r="C871" t="s">
        <v>2761</v>
      </c>
      <c r="E871" t="s">
        <v>2762</v>
      </c>
      <c r="F871" t="s">
        <v>2739</v>
      </c>
      <c r="H871" t="s">
        <v>2768</v>
      </c>
      <c r="I871" t="s">
        <v>2418</v>
      </c>
      <c r="J871" t="s">
        <v>28</v>
      </c>
      <c r="K871" t="s">
        <v>2337</v>
      </c>
      <c r="L871" t="s">
        <v>30</v>
      </c>
      <c r="M871" s="2" t="s">
        <v>30</v>
      </c>
    </row>
    <row r="872" spans="1:18" x14ac:dyDescent="0.25">
      <c r="A872" t="s">
        <v>2286</v>
      </c>
      <c r="B872" t="s">
        <v>2286</v>
      </c>
      <c r="C872" t="s">
        <v>2761</v>
      </c>
      <c r="E872" t="s">
        <v>2762</v>
      </c>
      <c r="F872" t="s">
        <v>2739</v>
      </c>
      <c r="H872" t="s">
        <v>2769</v>
      </c>
      <c r="I872" t="s">
        <v>2420</v>
      </c>
      <c r="J872" t="s">
        <v>28</v>
      </c>
      <c r="K872" t="s">
        <v>2451</v>
      </c>
      <c r="L872" t="s">
        <v>30</v>
      </c>
      <c r="M872" s="2" t="s">
        <v>30</v>
      </c>
    </row>
    <row r="873" spans="1:18" x14ac:dyDescent="0.25">
      <c r="A873" t="s">
        <v>2286</v>
      </c>
      <c r="B873" t="s">
        <v>2286</v>
      </c>
      <c r="C873" t="s">
        <v>2761</v>
      </c>
      <c r="E873" t="s">
        <v>2762</v>
      </c>
      <c r="F873" t="s">
        <v>2739</v>
      </c>
      <c r="H873" t="s">
        <v>2770</v>
      </c>
      <c r="I873" t="s">
        <v>2422</v>
      </c>
      <c r="J873" t="s">
        <v>28</v>
      </c>
      <c r="K873" t="s">
        <v>2298</v>
      </c>
      <c r="L873" t="s">
        <v>30</v>
      </c>
      <c r="M873" s="2" t="s">
        <v>30</v>
      </c>
      <c r="O873" t="s">
        <v>2771</v>
      </c>
    </row>
    <row r="874" spans="1:18" x14ac:dyDescent="0.25">
      <c r="A874" t="s">
        <v>2286</v>
      </c>
      <c r="B874" t="s">
        <v>2286</v>
      </c>
      <c r="C874" t="s">
        <v>2761</v>
      </c>
      <c r="E874" t="s">
        <v>2762</v>
      </c>
      <c r="F874" t="s">
        <v>2739</v>
      </c>
      <c r="H874" t="s">
        <v>2772</v>
      </c>
      <c r="I874" t="s">
        <v>2428</v>
      </c>
      <c r="J874" t="s">
        <v>28</v>
      </c>
      <c r="K874" t="s">
        <v>2451</v>
      </c>
      <c r="L874" t="s">
        <v>30</v>
      </c>
      <c r="M874" s="2" t="s">
        <v>30</v>
      </c>
    </row>
    <row r="875" spans="1:18" x14ac:dyDescent="0.25">
      <c r="A875" t="s">
        <v>2286</v>
      </c>
      <c r="B875" t="s">
        <v>2286</v>
      </c>
      <c r="C875" t="s">
        <v>2761</v>
      </c>
      <c r="E875" t="s">
        <v>2762</v>
      </c>
      <c r="F875" t="s">
        <v>2739</v>
      </c>
      <c r="H875" t="s">
        <v>2773</v>
      </c>
      <c r="I875" t="s">
        <v>2430</v>
      </c>
      <c r="J875" t="s">
        <v>28</v>
      </c>
      <c r="K875" t="s">
        <v>2746</v>
      </c>
      <c r="L875" t="s">
        <v>30</v>
      </c>
      <c r="M875" s="2" t="s">
        <v>30</v>
      </c>
      <c r="O875" t="s">
        <v>2774</v>
      </c>
      <c r="R875" t="s">
        <v>2722</v>
      </c>
    </row>
    <row r="876" spans="1:18" x14ac:dyDescent="0.25">
      <c r="A876" t="s">
        <v>2286</v>
      </c>
      <c r="B876" t="s">
        <v>2286</v>
      </c>
      <c r="C876" t="s">
        <v>2761</v>
      </c>
      <c r="E876" t="s">
        <v>2762</v>
      </c>
      <c r="F876" t="s">
        <v>2739</v>
      </c>
      <c r="H876" t="s">
        <v>2775</v>
      </c>
      <c r="I876" t="s">
        <v>2776</v>
      </c>
      <c r="J876" t="s">
        <v>126</v>
      </c>
      <c r="K876" t="s">
        <v>2746</v>
      </c>
      <c r="L876" t="s">
        <v>30</v>
      </c>
      <c r="M876" s="2" t="s">
        <v>30</v>
      </c>
      <c r="O876" t="s">
        <v>2777</v>
      </c>
      <c r="R876" t="s">
        <v>2722</v>
      </c>
    </row>
    <row r="877" spans="1:18" x14ac:dyDescent="0.25">
      <c r="A877" t="s">
        <v>2286</v>
      </c>
      <c r="B877" t="s">
        <v>2286</v>
      </c>
      <c r="C877" t="s">
        <v>2778</v>
      </c>
      <c r="E877" t="s">
        <v>2779</v>
      </c>
      <c r="F877" t="s">
        <v>2739</v>
      </c>
      <c r="H877" t="s">
        <v>2780</v>
      </c>
      <c r="I877" t="s">
        <v>2781</v>
      </c>
      <c r="J877" t="s">
        <v>28</v>
      </c>
      <c r="K877" t="s">
        <v>2746</v>
      </c>
      <c r="L877" t="s">
        <v>30</v>
      </c>
      <c r="M877" s="2" t="s">
        <v>30</v>
      </c>
      <c r="O877" t="s">
        <v>2782</v>
      </c>
      <c r="R877" t="s">
        <v>2722</v>
      </c>
    </row>
    <row r="878" spans="1:18" x14ac:dyDescent="0.25">
      <c r="A878" t="s">
        <v>2286</v>
      </c>
      <c r="B878" t="s">
        <v>2286</v>
      </c>
      <c r="C878" t="s">
        <v>2778</v>
      </c>
      <c r="E878" t="s">
        <v>2779</v>
      </c>
      <c r="F878" t="s">
        <v>2739</v>
      </c>
      <c r="H878" t="s">
        <v>2783</v>
      </c>
      <c r="I878" t="s">
        <v>2784</v>
      </c>
      <c r="J878" t="s">
        <v>28</v>
      </c>
      <c r="K878" t="s">
        <v>2456</v>
      </c>
      <c r="L878" t="s">
        <v>30</v>
      </c>
      <c r="M878" s="2" t="s">
        <v>30</v>
      </c>
    </row>
    <row r="879" spans="1:18" x14ac:dyDescent="0.25">
      <c r="A879" t="s">
        <v>2286</v>
      </c>
      <c r="B879" t="s">
        <v>2286</v>
      </c>
      <c r="C879" t="s">
        <v>2778</v>
      </c>
      <c r="E879" t="s">
        <v>2779</v>
      </c>
      <c r="F879" t="s">
        <v>2739</v>
      </c>
      <c r="H879" t="s">
        <v>2785</v>
      </c>
      <c r="I879" t="s">
        <v>2786</v>
      </c>
      <c r="J879" t="s">
        <v>28</v>
      </c>
      <c r="K879" t="s">
        <v>2423</v>
      </c>
      <c r="L879" t="s">
        <v>30</v>
      </c>
      <c r="M879" s="2" t="s">
        <v>30</v>
      </c>
      <c r="O879" t="s">
        <v>2787</v>
      </c>
      <c r="Q879" t="s">
        <v>2788</v>
      </c>
      <c r="R879" t="s">
        <v>2423</v>
      </c>
    </row>
    <row r="880" spans="1:18" x14ac:dyDescent="0.25">
      <c r="A880" t="s">
        <v>2286</v>
      </c>
      <c r="B880" t="s">
        <v>2286</v>
      </c>
      <c r="C880" t="s">
        <v>2778</v>
      </c>
      <c r="E880" t="s">
        <v>2779</v>
      </c>
      <c r="F880" t="s">
        <v>2739</v>
      </c>
      <c r="H880" t="s">
        <v>2789</v>
      </c>
      <c r="I880" t="s">
        <v>2790</v>
      </c>
      <c r="J880" t="s">
        <v>28</v>
      </c>
      <c r="K880" t="s">
        <v>2456</v>
      </c>
      <c r="L880" t="s">
        <v>30</v>
      </c>
      <c r="M880" s="2" t="s">
        <v>30</v>
      </c>
    </row>
    <row r="881" spans="1:18" x14ac:dyDescent="0.25">
      <c r="A881" t="s">
        <v>2286</v>
      </c>
      <c r="B881" t="s">
        <v>2286</v>
      </c>
      <c r="C881" t="s">
        <v>2778</v>
      </c>
      <c r="E881" t="s">
        <v>2779</v>
      </c>
      <c r="F881" t="s">
        <v>2739</v>
      </c>
      <c r="H881" t="s">
        <v>2791</v>
      </c>
      <c r="I881" t="s">
        <v>2792</v>
      </c>
      <c r="J881" t="s">
        <v>28</v>
      </c>
      <c r="K881" t="s">
        <v>2456</v>
      </c>
      <c r="L881" t="s">
        <v>30</v>
      </c>
      <c r="M881" s="2" t="s">
        <v>30</v>
      </c>
    </row>
    <row r="882" spans="1:18" x14ac:dyDescent="0.25">
      <c r="A882" t="s">
        <v>2286</v>
      </c>
      <c r="B882" t="s">
        <v>2286</v>
      </c>
      <c r="C882" t="s">
        <v>2778</v>
      </c>
      <c r="E882" t="s">
        <v>2779</v>
      </c>
      <c r="F882" t="s">
        <v>2739</v>
      </c>
      <c r="H882" t="s">
        <v>2793</v>
      </c>
      <c r="I882" t="s">
        <v>2794</v>
      </c>
      <c r="J882" t="s">
        <v>28</v>
      </c>
      <c r="K882" t="s">
        <v>2456</v>
      </c>
      <c r="L882" t="s">
        <v>30</v>
      </c>
      <c r="M882" s="2" t="s">
        <v>30</v>
      </c>
    </row>
    <row r="883" spans="1:18" x14ac:dyDescent="0.25">
      <c r="A883" t="s">
        <v>2286</v>
      </c>
      <c r="B883" t="s">
        <v>2286</v>
      </c>
      <c r="C883" t="s">
        <v>2778</v>
      </c>
      <c r="E883" t="s">
        <v>2779</v>
      </c>
      <c r="F883" t="s">
        <v>2739</v>
      </c>
      <c r="H883" t="s">
        <v>2795</v>
      </c>
      <c r="I883" t="s">
        <v>2796</v>
      </c>
      <c r="J883" t="s">
        <v>28</v>
      </c>
      <c r="K883" t="s">
        <v>2456</v>
      </c>
      <c r="L883" t="s">
        <v>30</v>
      </c>
      <c r="M883" s="2" t="s">
        <v>30</v>
      </c>
    </row>
    <row r="884" spans="1:18" x14ac:dyDescent="0.25">
      <c r="A884" t="s">
        <v>2286</v>
      </c>
      <c r="B884" t="s">
        <v>2286</v>
      </c>
      <c r="C884" t="s">
        <v>2797</v>
      </c>
      <c r="E884" t="s">
        <v>2798</v>
      </c>
      <c r="F884" t="s">
        <v>2799</v>
      </c>
      <c r="H884" t="s">
        <v>2800</v>
      </c>
      <c r="I884" t="s">
        <v>2801</v>
      </c>
      <c r="J884" t="s">
        <v>28</v>
      </c>
      <c r="K884" t="s">
        <v>2746</v>
      </c>
      <c r="L884" t="s">
        <v>30</v>
      </c>
      <c r="M884" s="2" t="s">
        <v>30</v>
      </c>
      <c r="R884" t="s">
        <v>2722</v>
      </c>
    </row>
    <row r="885" spans="1:18" x14ac:dyDescent="0.25">
      <c r="A885" t="s">
        <v>2286</v>
      </c>
      <c r="B885" t="s">
        <v>2286</v>
      </c>
      <c r="C885" t="s">
        <v>2802</v>
      </c>
      <c r="E885" t="s">
        <v>2803</v>
      </c>
      <c r="F885" t="s">
        <v>2739</v>
      </c>
      <c r="H885" t="s">
        <v>2804</v>
      </c>
      <c r="I885" t="s">
        <v>2527</v>
      </c>
      <c r="J885" t="s">
        <v>28</v>
      </c>
      <c r="K885" t="s">
        <v>2298</v>
      </c>
      <c r="L885" t="s">
        <v>30</v>
      </c>
      <c r="M885" s="2" t="s">
        <v>30</v>
      </c>
    </row>
    <row r="886" spans="1:18" x14ac:dyDescent="0.25">
      <c r="A886" t="s">
        <v>2286</v>
      </c>
      <c r="B886" t="s">
        <v>2286</v>
      </c>
      <c r="C886" t="s">
        <v>2802</v>
      </c>
      <c r="E886" t="s">
        <v>2803</v>
      </c>
      <c r="F886" t="s">
        <v>2739</v>
      </c>
      <c r="H886" t="s">
        <v>2805</v>
      </c>
      <c r="I886" t="s">
        <v>2532</v>
      </c>
      <c r="J886" t="s">
        <v>28</v>
      </c>
      <c r="K886" t="s">
        <v>2746</v>
      </c>
      <c r="L886" t="s">
        <v>30</v>
      </c>
      <c r="M886" s="2" t="s">
        <v>30</v>
      </c>
      <c r="O886" t="s">
        <v>2806</v>
      </c>
      <c r="R886" t="s">
        <v>2722</v>
      </c>
    </row>
    <row r="887" spans="1:18" x14ac:dyDescent="0.25">
      <c r="A887" t="s">
        <v>2286</v>
      </c>
      <c r="B887" t="s">
        <v>2286</v>
      </c>
      <c r="C887" t="s">
        <v>2802</v>
      </c>
      <c r="E887" t="s">
        <v>2803</v>
      </c>
      <c r="F887" t="s">
        <v>2739</v>
      </c>
      <c r="H887" t="s">
        <v>2807</v>
      </c>
      <c r="I887" t="s">
        <v>2535</v>
      </c>
      <c r="J887" t="s">
        <v>28</v>
      </c>
      <c r="K887" t="s">
        <v>2337</v>
      </c>
      <c r="L887" t="s">
        <v>30</v>
      </c>
      <c r="M887" s="2" t="s">
        <v>30</v>
      </c>
    </row>
    <row r="888" spans="1:18" x14ac:dyDescent="0.25">
      <c r="A888" t="s">
        <v>2286</v>
      </c>
      <c r="B888" t="s">
        <v>2286</v>
      </c>
      <c r="C888" t="s">
        <v>2802</v>
      </c>
      <c r="E888" t="s">
        <v>2803</v>
      </c>
      <c r="F888" t="s">
        <v>2739</v>
      </c>
      <c r="H888" t="s">
        <v>2808</v>
      </c>
      <c r="I888" t="s">
        <v>2540</v>
      </c>
      <c r="J888" t="s">
        <v>28</v>
      </c>
      <c r="K888" t="s">
        <v>2337</v>
      </c>
      <c r="L888" t="s">
        <v>30</v>
      </c>
      <c r="M888" s="2" t="s">
        <v>30</v>
      </c>
    </row>
    <row r="889" spans="1:18" x14ac:dyDescent="0.25">
      <c r="A889" t="s">
        <v>2286</v>
      </c>
      <c r="B889" t="s">
        <v>2286</v>
      </c>
      <c r="C889" t="s">
        <v>2802</v>
      </c>
      <c r="E889" t="s">
        <v>2803</v>
      </c>
      <c r="F889" t="s">
        <v>2739</v>
      </c>
      <c r="H889" t="s">
        <v>2809</v>
      </c>
      <c r="I889" t="s">
        <v>2542</v>
      </c>
      <c r="J889" t="s">
        <v>28</v>
      </c>
      <c r="K889" t="s">
        <v>2337</v>
      </c>
      <c r="L889" t="s">
        <v>30</v>
      </c>
      <c r="M889" s="2" t="s">
        <v>30</v>
      </c>
    </row>
    <row r="890" spans="1:18" x14ac:dyDescent="0.25">
      <c r="A890" t="s">
        <v>2286</v>
      </c>
      <c r="B890" t="s">
        <v>2286</v>
      </c>
      <c r="C890" t="s">
        <v>2802</v>
      </c>
      <c r="E890" t="s">
        <v>2803</v>
      </c>
      <c r="F890" t="s">
        <v>2739</v>
      </c>
      <c r="H890" t="s">
        <v>2810</v>
      </c>
      <c r="I890" t="s">
        <v>2544</v>
      </c>
      <c r="J890" t="s">
        <v>28</v>
      </c>
      <c r="K890" t="s">
        <v>2337</v>
      </c>
      <c r="L890" t="s">
        <v>30</v>
      </c>
      <c r="M890" s="2" t="s">
        <v>30</v>
      </c>
    </row>
    <row r="891" spans="1:18" x14ac:dyDescent="0.25">
      <c r="A891" t="s">
        <v>2286</v>
      </c>
      <c r="B891" t="s">
        <v>2286</v>
      </c>
      <c r="C891" t="s">
        <v>2802</v>
      </c>
      <c r="E891" t="s">
        <v>2803</v>
      </c>
      <c r="F891" t="s">
        <v>2739</v>
      </c>
      <c r="H891" t="s">
        <v>2811</v>
      </c>
      <c r="I891" t="s">
        <v>2546</v>
      </c>
      <c r="J891" t="s">
        <v>28</v>
      </c>
      <c r="K891" t="s">
        <v>2337</v>
      </c>
      <c r="L891" t="s">
        <v>30</v>
      </c>
      <c r="M891" s="2" t="s">
        <v>30</v>
      </c>
    </row>
    <row r="892" spans="1:18" x14ac:dyDescent="0.25">
      <c r="A892" t="s">
        <v>2286</v>
      </c>
      <c r="B892" t="s">
        <v>2286</v>
      </c>
      <c r="C892" t="s">
        <v>2802</v>
      </c>
      <c r="E892" t="s">
        <v>2803</v>
      </c>
      <c r="F892" t="s">
        <v>2739</v>
      </c>
      <c r="H892" t="s">
        <v>2812</v>
      </c>
      <c r="I892" t="s">
        <v>2549</v>
      </c>
      <c r="J892" t="s">
        <v>28</v>
      </c>
      <c r="K892" t="s">
        <v>2746</v>
      </c>
      <c r="L892" t="s">
        <v>30</v>
      </c>
      <c r="M892" s="2" t="s">
        <v>30</v>
      </c>
      <c r="O892" t="s">
        <v>2813</v>
      </c>
      <c r="R892" t="s">
        <v>2722</v>
      </c>
    </row>
    <row r="893" spans="1:18" x14ac:dyDescent="0.25">
      <c r="A893" t="s">
        <v>2286</v>
      </c>
      <c r="B893" t="s">
        <v>2286</v>
      </c>
      <c r="C893" t="s">
        <v>2802</v>
      </c>
      <c r="E893" t="s">
        <v>2803</v>
      </c>
      <c r="F893" t="s">
        <v>2739</v>
      </c>
      <c r="H893" t="s">
        <v>2814</v>
      </c>
      <c r="I893" t="s">
        <v>2697</v>
      </c>
      <c r="J893" t="s">
        <v>28</v>
      </c>
      <c r="K893" t="s">
        <v>2317</v>
      </c>
      <c r="L893" t="s">
        <v>30</v>
      </c>
      <c r="M893" s="2" t="s">
        <v>30</v>
      </c>
      <c r="O893" t="s">
        <v>2806</v>
      </c>
      <c r="Q893" t="s">
        <v>2815</v>
      </c>
      <c r="R893" t="s">
        <v>2320</v>
      </c>
    </row>
    <row r="894" spans="1:18" x14ac:dyDescent="0.25">
      <c r="A894" t="s">
        <v>2286</v>
      </c>
      <c r="B894" t="s">
        <v>2286</v>
      </c>
      <c r="C894" t="s">
        <v>2802</v>
      </c>
      <c r="E894" t="s">
        <v>2803</v>
      </c>
      <c r="F894" t="s">
        <v>2739</v>
      </c>
      <c r="H894" t="s">
        <v>2816</v>
      </c>
      <c r="I894" t="s">
        <v>2562</v>
      </c>
      <c r="J894" t="s">
        <v>28</v>
      </c>
      <c r="K894" t="s">
        <v>2746</v>
      </c>
      <c r="L894" t="s">
        <v>30</v>
      </c>
      <c r="M894" s="2" t="s">
        <v>30</v>
      </c>
      <c r="O894" t="s">
        <v>2817</v>
      </c>
      <c r="R894" t="s">
        <v>2722</v>
      </c>
    </row>
    <row r="895" spans="1:18" x14ac:dyDescent="0.25">
      <c r="A895" t="s">
        <v>2286</v>
      </c>
      <c r="B895" t="s">
        <v>2286</v>
      </c>
      <c r="C895" t="s">
        <v>2818</v>
      </c>
      <c r="E895" t="s">
        <v>2819</v>
      </c>
      <c r="F895" t="s">
        <v>2739</v>
      </c>
      <c r="H895" t="s">
        <v>2820</v>
      </c>
      <c r="I895" t="s">
        <v>2821</v>
      </c>
      <c r="J895" t="s">
        <v>28</v>
      </c>
      <c r="K895" t="s">
        <v>2721</v>
      </c>
      <c r="L895" t="s">
        <v>52</v>
      </c>
      <c r="M895" s="3" t="s">
        <v>52</v>
      </c>
      <c r="O895" t="s">
        <v>2822</v>
      </c>
    </row>
    <row r="896" spans="1:18" x14ac:dyDescent="0.25">
      <c r="A896" t="s">
        <v>2286</v>
      </c>
      <c r="B896" t="s">
        <v>2286</v>
      </c>
      <c r="C896" t="s">
        <v>2818</v>
      </c>
      <c r="E896" t="s">
        <v>2819</v>
      </c>
      <c r="F896" t="s">
        <v>2739</v>
      </c>
      <c r="H896" t="s">
        <v>2823</v>
      </c>
      <c r="I896" t="s">
        <v>2824</v>
      </c>
      <c r="J896" t="s">
        <v>28</v>
      </c>
      <c r="K896" t="s">
        <v>2721</v>
      </c>
      <c r="L896" t="s">
        <v>52</v>
      </c>
      <c r="M896" s="3" t="s">
        <v>52</v>
      </c>
      <c r="O896" t="s">
        <v>2822</v>
      </c>
    </row>
    <row r="897" spans="1:18" x14ac:dyDescent="0.25">
      <c r="A897" t="s">
        <v>2286</v>
      </c>
      <c r="B897" t="s">
        <v>2286</v>
      </c>
      <c r="C897" t="s">
        <v>2818</v>
      </c>
      <c r="E897" t="s">
        <v>2819</v>
      </c>
      <c r="F897" t="s">
        <v>2739</v>
      </c>
      <c r="H897" t="s">
        <v>2825</v>
      </c>
      <c r="I897" t="s">
        <v>2826</v>
      </c>
      <c r="J897" t="s">
        <v>28</v>
      </c>
      <c r="K897" t="s">
        <v>2337</v>
      </c>
      <c r="L897" t="s">
        <v>52</v>
      </c>
      <c r="M897" s="3" t="s">
        <v>52</v>
      </c>
      <c r="O897" t="s">
        <v>2827</v>
      </c>
    </row>
    <row r="898" spans="1:18" x14ac:dyDescent="0.25">
      <c r="A898" t="s">
        <v>2286</v>
      </c>
      <c r="B898" t="s">
        <v>2286</v>
      </c>
      <c r="C898" t="s">
        <v>2828</v>
      </c>
      <c r="E898" t="s">
        <v>2829</v>
      </c>
      <c r="F898" t="s">
        <v>2830</v>
      </c>
      <c r="H898" t="s">
        <v>2831</v>
      </c>
      <c r="I898" t="s">
        <v>2832</v>
      </c>
      <c r="J898" t="s">
        <v>28</v>
      </c>
      <c r="K898" t="s">
        <v>2298</v>
      </c>
      <c r="L898" t="s">
        <v>30</v>
      </c>
      <c r="M898" s="2" t="s">
        <v>30</v>
      </c>
    </row>
    <row r="899" spans="1:18" x14ac:dyDescent="0.25">
      <c r="A899" t="s">
        <v>2286</v>
      </c>
      <c r="B899" t="s">
        <v>2286</v>
      </c>
      <c r="C899" t="s">
        <v>2828</v>
      </c>
      <c r="E899" t="s">
        <v>2829</v>
      </c>
      <c r="F899" t="s">
        <v>2830</v>
      </c>
      <c r="H899" t="s">
        <v>2833</v>
      </c>
      <c r="I899" t="s">
        <v>2834</v>
      </c>
      <c r="J899" t="s">
        <v>28</v>
      </c>
      <c r="K899" t="s">
        <v>2298</v>
      </c>
      <c r="L899" t="s">
        <v>30</v>
      </c>
      <c r="M899" s="2" t="s">
        <v>30</v>
      </c>
      <c r="O899" t="s">
        <v>2835</v>
      </c>
    </row>
    <row r="900" spans="1:18" x14ac:dyDescent="0.25">
      <c r="A900" t="s">
        <v>2286</v>
      </c>
      <c r="B900" t="s">
        <v>2286</v>
      </c>
      <c r="C900" t="s">
        <v>2836</v>
      </c>
      <c r="E900" t="s">
        <v>2837</v>
      </c>
      <c r="F900" t="s">
        <v>2830</v>
      </c>
      <c r="H900" t="s">
        <v>2838</v>
      </c>
      <c r="I900" t="s">
        <v>2839</v>
      </c>
      <c r="J900" t="s">
        <v>28</v>
      </c>
      <c r="K900" t="s">
        <v>2840</v>
      </c>
      <c r="L900" t="s">
        <v>30</v>
      </c>
      <c r="M900" s="2" t="s">
        <v>30</v>
      </c>
      <c r="O900" t="s">
        <v>2841</v>
      </c>
      <c r="R900" t="s">
        <v>2306</v>
      </c>
    </row>
    <row r="901" spans="1:18" x14ac:dyDescent="0.25">
      <c r="A901" t="s">
        <v>2286</v>
      </c>
      <c r="B901" t="s">
        <v>2286</v>
      </c>
      <c r="C901" t="s">
        <v>2836</v>
      </c>
      <c r="E901" t="s">
        <v>2837</v>
      </c>
      <c r="F901" t="s">
        <v>2830</v>
      </c>
      <c r="H901" t="s">
        <v>2842</v>
      </c>
      <c r="I901" t="s">
        <v>2843</v>
      </c>
      <c r="J901" t="s">
        <v>28</v>
      </c>
      <c r="K901" t="s">
        <v>2840</v>
      </c>
      <c r="L901" t="s">
        <v>30</v>
      </c>
      <c r="M901" s="2" t="s">
        <v>30</v>
      </c>
      <c r="O901" t="s">
        <v>2844</v>
      </c>
    </row>
    <row r="902" spans="1:18" x14ac:dyDescent="0.25">
      <c r="A902" t="s">
        <v>2286</v>
      </c>
      <c r="B902" t="s">
        <v>2286</v>
      </c>
      <c r="C902" t="s">
        <v>2845</v>
      </c>
      <c r="E902" t="s">
        <v>2846</v>
      </c>
      <c r="F902" t="s">
        <v>2176</v>
      </c>
      <c r="H902" t="s">
        <v>2847</v>
      </c>
      <c r="I902" t="s">
        <v>2848</v>
      </c>
      <c r="J902" t="s">
        <v>28</v>
      </c>
      <c r="K902" t="s">
        <v>2405</v>
      </c>
      <c r="L902" t="s">
        <v>623</v>
      </c>
      <c r="M902" s="6" t="s">
        <v>373</v>
      </c>
      <c r="O902" t="s">
        <v>2334</v>
      </c>
    </row>
    <row r="903" spans="1:18" x14ac:dyDescent="0.25">
      <c r="A903" t="s">
        <v>2286</v>
      </c>
      <c r="B903" t="s">
        <v>2286</v>
      </c>
      <c r="C903" t="s">
        <v>2845</v>
      </c>
      <c r="E903" t="s">
        <v>2846</v>
      </c>
      <c r="F903" t="s">
        <v>2176</v>
      </c>
      <c r="H903" t="s">
        <v>3435</v>
      </c>
      <c r="I903" t="s">
        <v>3521</v>
      </c>
      <c r="J903" t="s">
        <v>28</v>
      </c>
      <c r="K903" t="s">
        <v>2405</v>
      </c>
      <c r="L903" t="s">
        <v>623</v>
      </c>
      <c r="M903" s="6" t="s">
        <v>373</v>
      </c>
      <c r="O903" t="s">
        <v>2334</v>
      </c>
    </row>
    <row r="904" spans="1:18" x14ac:dyDescent="0.25">
      <c r="A904" t="s">
        <v>2286</v>
      </c>
      <c r="B904" t="s">
        <v>2286</v>
      </c>
      <c r="C904" t="s">
        <v>2845</v>
      </c>
      <c r="E904" t="s">
        <v>2846</v>
      </c>
      <c r="F904" t="s">
        <v>2176</v>
      </c>
      <c r="H904" t="s">
        <v>3436</v>
      </c>
      <c r="I904" t="s">
        <v>3522</v>
      </c>
      <c r="J904" t="s">
        <v>28</v>
      </c>
      <c r="K904" t="s">
        <v>2405</v>
      </c>
      <c r="L904" t="s">
        <v>623</v>
      </c>
      <c r="M904" s="6" t="s">
        <v>373</v>
      </c>
      <c r="O904" t="s">
        <v>2334</v>
      </c>
    </row>
    <row r="905" spans="1:18" x14ac:dyDescent="0.25">
      <c r="A905" t="s">
        <v>2286</v>
      </c>
      <c r="B905" t="s">
        <v>2286</v>
      </c>
      <c r="C905" t="s">
        <v>2845</v>
      </c>
      <c r="E905" t="s">
        <v>2846</v>
      </c>
      <c r="F905" t="s">
        <v>2176</v>
      </c>
      <c r="H905" t="s">
        <v>3437</v>
      </c>
      <c r="I905" t="s">
        <v>3431</v>
      </c>
      <c r="J905" t="s">
        <v>28</v>
      </c>
      <c r="K905" t="s">
        <v>2405</v>
      </c>
      <c r="L905" t="s">
        <v>623</v>
      </c>
      <c r="M905" s="6" t="s">
        <v>373</v>
      </c>
      <c r="O905" t="s">
        <v>2334</v>
      </c>
    </row>
    <row r="906" spans="1:18" x14ac:dyDescent="0.25">
      <c r="A906" t="s">
        <v>2286</v>
      </c>
      <c r="B906" t="s">
        <v>2286</v>
      </c>
      <c r="C906" t="s">
        <v>2845</v>
      </c>
      <c r="E906" t="s">
        <v>2846</v>
      </c>
      <c r="F906" t="s">
        <v>2176</v>
      </c>
      <c r="H906" t="s">
        <v>3438</v>
      </c>
      <c r="I906" t="s">
        <v>3523</v>
      </c>
      <c r="J906" t="s">
        <v>28</v>
      </c>
      <c r="K906" t="s">
        <v>2405</v>
      </c>
      <c r="L906" t="s">
        <v>623</v>
      </c>
      <c r="M906" s="6" t="s">
        <v>373</v>
      </c>
      <c r="O906" t="s">
        <v>2334</v>
      </c>
    </row>
    <row r="907" spans="1:18" x14ac:dyDescent="0.25">
      <c r="A907" t="s">
        <v>2286</v>
      </c>
      <c r="B907" t="s">
        <v>2286</v>
      </c>
      <c r="C907" t="s">
        <v>2845</v>
      </c>
      <c r="E907" t="s">
        <v>2846</v>
      </c>
      <c r="F907" t="s">
        <v>2176</v>
      </c>
      <c r="H907" t="s">
        <v>3439</v>
      </c>
      <c r="I907" t="s">
        <v>3524</v>
      </c>
      <c r="J907" t="s">
        <v>28</v>
      </c>
      <c r="K907" t="s">
        <v>2405</v>
      </c>
      <c r="L907" t="s">
        <v>623</v>
      </c>
      <c r="M907" s="6" t="s">
        <v>373</v>
      </c>
      <c r="O907" t="s">
        <v>2334</v>
      </c>
    </row>
    <row r="908" spans="1:18" x14ac:dyDescent="0.25">
      <c r="A908" t="s">
        <v>2286</v>
      </c>
      <c r="B908" t="s">
        <v>2286</v>
      </c>
      <c r="C908" t="s">
        <v>2845</v>
      </c>
      <c r="E908" t="s">
        <v>2846</v>
      </c>
      <c r="F908" t="s">
        <v>2176</v>
      </c>
      <c r="H908" t="s">
        <v>3440</v>
      </c>
      <c r="I908" t="s">
        <v>3525</v>
      </c>
      <c r="J908" t="s">
        <v>28</v>
      </c>
      <c r="K908" t="s">
        <v>2405</v>
      </c>
      <c r="L908" t="s">
        <v>623</v>
      </c>
      <c r="M908" s="6" t="s">
        <v>373</v>
      </c>
      <c r="O908" t="s">
        <v>2334</v>
      </c>
    </row>
    <row r="909" spans="1:18" x14ac:dyDescent="0.25">
      <c r="A909" t="s">
        <v>2286</v>
      </c>
      <c r="B909" t="s">
        <v>2286</v>
      </c>
      <c r="C909" t="s">
        <v>2845</v>
      </c>
      <c r="E909" t="s">
        <v>2846</v>
      </c>
      <c r="F909" t="s">
        <v>2176</v>
      </c>
      <c r="H909" t="s">
        <v>3441</v>
      </c>
      <c r="I909" t="s">
        <v>3526</v>
      </c>
      <c r="J909" t="s">
        <v>28</v>
      </c>
      <c r="K909" t="s">
        <v>2405</v>
      </c>
      <c r="L909" t="s">
        <v>623</v>
      </c>
      <c r="M909" s="6" t="s">
        <v>373</v>
      </c>
      <c r="O909" t="s">
        <v>2334</v>
      </c>
    </row>
    <row r="910" spans="1:18" x14ac:dyDescent="0.25">
      <c r="A910" t="s">
        <v>2286</v>
      </c>
      <c r="B910" t="s">
        <v>2286</v>
      </c>
      <c r="C910" t="s">
        <v>2845</v>
      </c>
      <c r="E910" t="s">
        <v>2846</v>
      </c>
      <c r="F910" t="s">
        <v>2176</v>
      </c>
      <c r="H910" t="s">
        <v>3442</v>
      </c>
      <c r="I910" t="s">
        <v>3527</v>
      </c>
      <c r="J910" t="s">
        <v>28</v>
      </c>
      <c r="K910" t="s">
        <v>2405</v>
      </c>
      <c r="L910" t="s">
        <v>623</v>
      </c>
      <c r="M910" s="6" t="s">
        <v>373</v>
      </c>
      <c r="O910" t="s">
        <v>2334</v>
      </c>
    </row>
    <row r="911" spans="1:18" x14ac:dyDescent="0.25">
      <c r="A911" t="s">
        <v>2286</v>
      </c>
      <c r="B911" t="s">
        <v>2286</v>
      </c>
      <c r="C911" t="s">
        <v>2845</v>
      </c>
      <c r="E911" t="s">
        <v>2846</v>
      </c>
      <c r="F911" t="s">
        <v>2176</v>
      </c>
      <c r="H911" t="s">
        <v>3443</v>
      </c>
      <c r="I911" t="s">
        <v>3528</v>
      </c>
      <c r="J911" t="s">
        <v>28</v>
      </c>
      <c r="K911" t="s">
        <v>2405</v>
      </c>
      <c r="L911" t="s">
        <v>623</v>
      </c>
      <c r="M911" s="6" t="s">
        <v>373</v>
      </c>
      <c r="O911" t="s">
        <v>2334</v>
      </c>
    </row>
    <row r="912" spans="1:18" x14ac:dyDescent="0.25">
      <c r="A912" t="s">
        <v>2286</v>
      </c>
      <c r="B912" t="s">
        <v>2286</v>
      </c>
      <c r="C912" t="s">
        <v>2845</v>
      </c>
      <c r="E912" t="s">
        <v>2846</v>
      </c>
      <c r="F912" t="s">
        <v>2176</v>
      </c>
      <c r="H912" t="s">
        <v>3444</v>
      </c>
      <c r="I912" t="s">
        <v>3529</v>
      </c>
      <c r="J912" t="s">
        <v>28</v>
      </c>
      <c r="K912" t="s">
        <v>2405</v>
      </c>
      <c r="L912" t="s">
        <v>623</v>
      </c>
      <c r="M912" s="6" t="s">
        <v>373</v>
      </c>
      <c r="O912" t="s">
        <v>2334</v>
      </c>
    </row>
    <row r="913" spans="1:15" x14ac:dyDescent="0.25">
      <c r="A913" t="s">
        <v>2286</v>
      </c>
      <c r="B913" t="s">
        <v>2286</v>
      </c>
      <c r="C913" t="s">
        <v>2849</v>
      </c>
      <c r="E913" t="s">
        <v>2850</v>
      </c>
      <c r="F913" t="s">
        <v>2851</v>
      </c>
      <c r="H913" t="s">
        <v>2852</v>
      </c>
      <c r="I913" t="s">
        <v>2853</v>
      </c>
      <c r="J913" t="s">
        <v>28</v>
      </c>
      <c r="K913" t="s">
        <v>2395</v>
      </c>
      <c r="L913" t="s">
        <v>52</v>
      </c>
      <c r="M913" s="3" t="s">
        <v>52</v>
      </c>
      <c r="O913" t="s">
        <v>2854</v>
      </c>
    </row>
  </sheetData>
  <mergeCells count="1">
    <mergeCell ref="O42:O4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05614-D6E0-43C5-932C-E8180C3AA83B}">
  <dimension ref="F1"/>
  <sheetViews>
    <sheetView zoomScale="85" zoomScaleNormal="85" workbookViewId="0">
      <selection activeCell="N30" sqref="N29:N30"/>
    </sheetView>
  </sheetViews>
  <sheetFormatPr baseColWidth="10" defaultColWidth="9.140625" defaultRowHeight="15" x14ac:dyDescent="0.25"/>
  <cols>
    <col min="6" max="6" width="9.140625" style="97"/>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61"/>
  <sheetViews>
    <sheetView workbookViewId="0">
      <pane xSplit="2" ySplit="1" topLeftCell="C181" activePane="bottomRight" state="frozen"/>
      <selection pane="topRight"/>
      <selection pane="bottomLeft"/>
      <selection pane="bottomRight" activeCell="E116" sqref="E116"/>
    </sheetView>
  </sheetViews>
  <sheetFormatPr baseColWidth="10" defaultColWidth="9.140625" defaultRowHeight="15" x14ac:dyDescent="0.25"/>
  <cols>
    <col min="1" max="1" width="25" customWidth="1"/>
    <col min="2" max="2" width="12" customWidth="1"/>
    <col min="3" max="3" width="40" customWidth="1"/>
    <col min="4" max="4" width="20" customWidth="1"/>
    <col min="5" max="11" width="8" customWidth="1"/>
    <col min="12" max="12" width="10" customWidth="1"/>
    <col min="13" max="13" width="40" customWidth="1"/>
    <col min="14" max="14" width="60" customWidth="1"/>
  </cols>
  <sheetData>
    <row r="1" spans="1:14" ht="45" customHeight="1" x14ac:dyDescent="0.25">
      <c r="A1" s="1" t="s">
        <v>0</v>
      </c>
      <c r="B1" s="1" t="s">
        <v>2855</v>
      </c>
      <c r="C1" s="1" t="s">
        <v>2856</v>
      </c>
      <c r="D1" s="1" t="s">
        <v>2857</v>
      </c>
      <c r="E1" s="1" t="s">
        <v>30</v>
      </c>
      <c r="F1" s="1" t="s">
        <v>187</v>
      </c>
      <c r="G1" s="1" t="s">
        <v>373</v>
      </c>
      <c r="H1" s="1" t="s">
        <v>182</v>
      </c>
      <c r="I1" s="1" t="s">
        <v>52</v>
      </c>
      <c r="J1" s="1" t="s">
        <v>67</v>
      </c>
      <c r="K1" s="1" t="s">
        <v>2858</v>
      </c>
      <c r="L1" s="1" t="s">
        <v>2859</v>
      </c>
      <c r="M1" s="1" t="s">
        <v>18</v>
      </c>
      <c r="N1" s="1" t="s">
        <v>2860</v>
      </c>
    </row>
    <row r="2" spans="1:14" x14ac:dyDescent="0.25">
      <c r="A2" s="7" t="s">
        <v>2286</v>
      </c>
      <c r="B2" s="7" t="s">
        <v>2861</v>
      </c>
      <c r="C2" s="7"/>
      <c r="D2" s="7" t="s">
        <v>2862</v>
      </c>
      <c r="E2" s="7"/>
      <c r="F2" s="7"/>
      <c r="G2" s="7"/>
      <c r="H2" s="7"/>
      <c r="I2" s="7"/>
      <c r="J2" s="7"/>
      <c r="K2" s="7"/>
      <c r="L2" s="7"/>
      <c r="M2" s="7"/>
      <c r="N2" s="7"/>
    </row>
    <row r="3" spans="1:14" ht="25.5" x14ac:dyDescent="0.25">
      <c r="A3" s="7" t="s">
        <v>2286</v>
      </c>
      <c r="B3" s="7" t="s">
        <v>2329</v>
      </c>
      <c r="C3" s="7" t="s">
        <v>2863</v>
      </c>
      <c r="D3" s="7" t="s">
        <v>372</v>
      </c>
      <c r="E3" s="7">
        <v>0</v>
      </c>
      <c r="F3" s="7">
        <v>0</v>
      </c>
      <c r="G3" s="8">
        <v>6</v>
      </c>
      <c r="H3" s="7">
        <v>0</v>
      </c>
      <c r="I3" s="7">
        <v>0</v>
      </c>
      <c r="J3" s="7">
        <v>0</v>
      </c>
      <c r="K3" s="7">
        <v>0</v>
      </c>
      <c r="L3" s="7">
        <v>0</v>
      </c>
      <c r="M3" s="7"/>
      <c r="N3" s="7" t="s">
        <v>2864</v>
      </c>
    </row>
    <row r="4" spans="1:14" ht="25.5" x14ac:dyDescent="0.25">
      <c r="A4" s="7" t="s">
        <v>2286</v>
      </c>
      <c r="B4" s="7" t="s">
        <v>2346</v>
      </c>
      <c r="C4" s="7" t="s">
        <v>2865</v>
      </c>
      <c r="D4" s="7" t="s">
        <v>2862</v>
      </c>
      <c r="E4" s="9">
        <v>6</v>
      </c>
      <c r="F4" s="7">
        <v>0</v>
      </c>
      <c r="G4" s="7">
        <v>0</v>
      </c>
      <c r="H4" s="7">
        <v>0</v>
      </c>
      <c r="I4" s="7">
        <v>0</v>
      </c>
      <c r="J4" s="7">
        <v>0</v>
      </c>
      <c r="K4" s="7">
        <v>0</v>
      </c>
      <c r="L4" s="7">
        <v>0</v>
      </c>
      <c r="M4" s="7"/>
      <c r="N4" s="7" t="s">
        <v>2866</v>
      </c>
    </row>
    <row r="5" spans="1:14" ht="51" x14ac:dyDescent="0.25">
      <c r="A5" s="7" t="s">
        <v>2286</v>
      </c>
      <c r="B5" s="7" t="s">
        <v>2365</v>
      </c>
      <c r="C5" s="7" t="s">
        <v>2867</v>
      </c>
      <c r="D5" s="7" t="s">
        <v>372</v>
      </c>
      <c r="E5" s="7">
        <v>0</v>
      </c>
      <c r="F5" s="7">
        <v>0</v>
      </c>
      <c r="G5" s="8">
        <v>2</v>
      </c>
      <c r="H5" s="7">
        <v>0</v>
      </c>
      <c r="I5" s="7">
        <v>0</v>
      </c>
      <c r="J5" s="7">
        <v>0</v>
      </c>
      <c r="K5" s="7">
        <v>0</v>
      </c>
      <c r="L5" s="7">
        <v>0</v>
      </c>
      <c r="M5" s="7" t="s">
        <v>2868</v>
      </c>
      <c r="N5" s="7" t="s">
        <v>2869</v>
      </c>
    </row>
    <row r="6" spans="1:14" ht="89.25" x14ac:dyDescent="0.25">
      <c r="A6" s="7" t="s">
        <v>2286</v>
      </c>
      <c r="B6" s="7" t="s">
        <v>2373</v>
      </c>
      <c r="C6" s="7" t="s">
        <v>2870</v>
      </c>
      <c r="D6" s="7" t="s">
        <v>372</v>
      </c>
      <c r="E6" s="7">
        <v>0</v>
      </c>
      <c r="F6" s="7">
        <v>0</v>
      </c>
      <c r="G6" s="8">
        <v>7</v>
      </c>
      <c r="H6" s="7">
        <v>0</v>
      </c>
      <c r="I6" s="7">
        <v>0</v>
      </c>
      <c r="J6" s="7">
        <v>0</v>
      </c>
      <c r="K6" s="7">
        <v>0</v>
      </c>
      <c r="L6" s="7">
        <v>0</v>
      </c>
      <c r="M6" s="7" t="s">
        <v>2871</v>
      </c>
      <c r="N6" s="7" t="s">
        <v>2872</v>
      </c>
    </row>
    <row r="7" spans="1:14" x14ac:dyDescent="0.25">
      <c r="A7" s="7" t="s">
        <v>2286</v>
      </c>
      <c r="B7" s="7" t="s">
        <v>2390</v>
      </c>
      <c r="C7" s="7" t="s">
        <v>2873</v>
      </c>
      <c r="D7" s="7" t="s">
        <v>2862</v>
      </c>
      <c r="E7" s="9">
        <v>1</v>
      </c>
      <c r="F7" s="7">
        <v>0</v>
      </c>
      <c r="G7" s="7">
        <v>0</v>
      </c>
      <c r="H7" s="7">
        <v>0</v>
      </c>
      <c r="I7" s="7">
        <v>0</v>
      </c>
      <c r="J7" s="7">
        <v>0</v>
      </c>
      <c r="K7" s="7">
        <v>0</v>
      </c>
      <c r="L7" s="7">
        <v>0</v>
      </c>
      <c r="M7" s="7"/>
      <c r="N7" s="7" t="s">
        <v>2874</v>
      </c>
    </row>
    <row r="8" spans="1:14" ht="25.5" x14ac:dyDescent="0.25">
      <c r="A8" s="7" t="s">
        <v>2286</v>
      </c>
      <c r="B8" s="7" t="s">
        <v>2396</v>
      </c>
      <c r="C8" s="7" t="s">
        <v>2875</v>
      </c>
      <c r="D8" s="7" t="s">
        <v>2862</v>
      </c>
      <c r="E8" s="9">
        <v>1</v>
      </c>
      <c r="F8" s="7">
        <v>0</v>
      </c>
      <c r="G8" s="7">
        <v>0</v>
      </c>
      <c r="H8" s="7">
        <v>0</v>
      </c>
      <c r="I8" s="7">
        <v>0</v>
      </c>
      <c r="J8" s="7">
        <v>0</v>
      </c>
      <c r="K8" s="7">
        <v>0</v>
      </c>
      <c r="L8" s="7">
        <v>0</v>
      </c>
      <c r="M8" s="7"/>
      <c r="N8" s="7" t="s">
        <v>2876</v>
      </c>
    </row>
    <row r="9" spans="1:14" x14ac:dyDescent="0.25">
      <c r="A9" s="7" t="s">
        <v>2286</v>
      </c>
      <c r="B9" s="7" t="s">
        <v>2877</v>
      </c>
      <c r="C9" s="7" t="s">
        <v>2878</v>
      </c>
      <c r="D9" s="7" t="s">
        <v>2862</v>
      </c>
      <c r="E9" s="7"/>
      <c r="F9" s="7"/>
      <c r="G9" s="7"/>
      <c r="H9" s="7"/>
      <c r="I9" s="7"/>
      <c r="J9" s="7"/>
      <c r="K9" s="7"/>
      <c r="L9" s="7"/>
      <c r="M9" s="7"/>
      <c r="N9" s="7"/>
    </row>
    <row r="10" spans="1:14" x14ac:dyDescent="0.25">
      <c r="A10" s="7" t="s">
        <v>2286</v>
      </c>
      <c r="B10" s="7" t="s">
        <v>2459</v>
      </c>
      <c r="C10" s="7" t="s">
        <v>2878</v>
      </c>
      <c r="D10" s="7" t="s">
        <v>970</v>
      </c>
      <c r="E10" s="7">
        <v>0</v>
      </c>
      <c r="F10" s="7">
        <v>0</v>
      </c>
      <c r="G10" s="7">
        <v>0</v>
      </c>
      <c r="H10" s="7">
        <v>0</v>
      </c>
      <c r="I10" s="10">
        <v>1</v>
      </c>
      <c r="J10" s="7">
        <v>0</v>
      </c>
      <c r="K10" s="7">
        <v>0</v>
      </c>
      <c r="L10" s="7">
        <v>0</v>
      </c>
      <c r="M10" s="7"/>
      <c r="N10" s="7" t="s">
        <v>2879</v>
      </c>
    </row>
    <row r="11" spans="1:14" ht="25.5" x14ac:dyDescent="0.25">
      <c r="A11" s="7" t="s">
        <v>2286</v>
      </c>
      <c r="B11" s="7" t="s">
        <v>2464</v>
      </c>
      <c r="C11" s="7" t="s">
        <v>2880</v>
      </c>
      <c r="D11" s="7" t="s">
        <v>2862</v>
      </c>
      <c r="E11" s="9">
        <v>6</v>
      </c>
      <c r="F11" s="7">
        <v>0</v>
      </c>
      <c r="G11" s="7">
        <v>0</v>
      </c>
      <c r="H11" s="7">
        <v>0</v>
      </c>
      <c r="I11" s="7">
        <v>0</v>
      </c>
      <c r="J11" s="7">
        <v>0</v>
      </c>
      <c r="K11" s="7">
        <v>0</v>
      </c>
      <c r="L11" s="7">
        <v>0</v>
      </c>
      <c r="M11" s="7"/>
      <c r="N11" s="7" t="s">
        <v>2881</v>
      </c>
    </row>
    <row r="12" spans="1:14" x14ac:dyDescent="0.25">
      <c r="A12" s="7" t="s">
        <v>2286</v>
      </c>
      <c r="B12" s="7" t="s">
        <v>2882</v>
      </c>
      <c r="C12" s="7" t="s">
        <v>2883</v>
      </c>
      <c r="D12" s="7" t="s">
        <v>2862</v>
      </c>
      <c r="E12" s="7"/>
      <c r="F12" s="7"/>
      <c r="G12" s="7"/>
      <c r="H12" s="7"/>
      <c r="I12" s="7"/>
      <c r="J12" s="7"/>
      <c r="K12" s="7"/>
      <c r="L12" s="7"/>
      <c r="M12" s="7"/>
      <c r="N12" s="7"/>
    </row>
    <row r="13" spans="1:14" ht="25.5" x14ac:dyDescent="0.25">
      <c r="A13" s="7" t="s">
        <v>2286</v>
      </c>
      <c r="B13" s="7" t="s">
        <v>2884</v>
      </c>
      <c r="C13" s="7" t="s">
        <v>2885</v>
      </c>
      <c r="D13" s="7" t="s">
        <v>2862</v>
      </c>
      <c r="E13" s="7"/>
      <c r="F13" s="7"/>
      <c r="G13" s="7"/>
      <c r="H13" s="7"/>
      <c r="I13" s="7"/>
      <c r="J13" s="7"/>
      <c r="K13" s="7"/>
      <c r="L13" s="7"/>
      <c r="M13" s="7"/>
      <c r="N13" s="7"/>
    </row>
    <row r="14" spans="1:14" x14ac:dyDescent="0.25">
      <c r="A14" s="7" t="s">
        <v>2286</v>
      </c>
      <c r="B14" s="7" t="s">
        <v>2515</v>
      </c>
      <c r="C14" s="7" t="s">
        <v>2885</v>
      </c>
      <c r="D14" s="7" t="s">
        <v>2862</v>
      </c>
      <c r="E14" s="9">
        <v>1</v>
      </c>
      <c r="F14" s="7">
        <v>0</v>
      </c>
      <c r="G14" s="7">
        <v>0</v>
      </c>
      <c r="H14" s="7">
        <v>0</v>
      </c>
      <c r="I14" s="7">
        <v>0</v>
      </c>
      <c r="J14" s="7">
        <v>0</v>
      </c>
      <c r="K14" s="7">
        <v>0</v>
      </c>
      <c r="L14" s="7">
        <v>0</v>
      </c>
      <c r="M14" s="7"/>
      <c r="N14" s="7" t="s">
        <v>2886</v>
      </c>
    </row>
    <row r="15" spans="1:14" x14ac:dyDescent="0.25">
      <c r="A15" s="7" t="s">
        <v>2286</v>
      </c>
      <c r="B15" s="7" t="s">
        <v>2518</v>
      </c>
      <c r="C15" s="7" t="s">
        <v>2887</v>
      </c>
      <c r="D15" s="7" t="s">
        <v>2862</v>
      </c>
      <c r="E15" s="9">
        <v>1</v>
      </c>
      <c r="F15" s="7">
        <v>0</v>
      </c>
      <c r="G15" s="7">
        <v>0</v>
      </c>
      <c r="H15" s="7">
        <v>0</v>
      </c>
      <c r="I15" s="7">
        <v>0</v>
      </c>
      <c r="J15" s="7">
        <v>0</v>
      </c>
      <c r="K15" s="7">
        <v>0</v>
      </c>
      <c r="L15" s="7">
        <v>0</v>
      </c>
      <c r="M15" s="7" t="s">
        <v>2888</v>
      </c>
      <c r="N15" s="7" t="s">
        <v>2889</v>
      </c>
    </row>
    <row r="16" spans="1:14" ht="25.5" x14ac:dyDescent="0.25">
      <c r="A16" s="7" t="s">
        <v>2286</v>
      </c>
      <c r="B16" s="7" t="s">
        <v>2890</v>
      </c>
      <c r="C16" s="7" t="s">
        <v>2887</v>
      </c>
      <c r="D16" s="7" t="s">
        <v>2862</v>
      </c>
      <c r="E16" s="7"/>
      <c r="F16" s="7"/>
      <c r="G16" s="7"/>
      <c r="H16" s="7"/>
      <c r="I16" s="7"/>
      <c r="J16" s="7"/>
      <c r="K16" s="7"/>
      <c r="L16" s="7"/>
      <c r="M16" s="7"/>
      <c r="N16" s="7"/>
    </row>
    <row r="17" spans="1:14" x14ac:dyDescent="0.25">
      <c r="A17" s="7" t="s">
        <v>2286</v>
      </c>
      <c r="B17" s="7" t="s">
        <v>2573</v>
      </c>
      <c r="C17" s="7" t="s">
        <v>2887</v>
      </c>
      <c r="D17" s="7" t="s">
        <v>2862</v>
      </c>
      <c r="E17" s="9">
        <v>1</v>
      </c>
      <c r="F17" s="7">
        <v>0</v>
      </c>
      <c r="G17" s="7">
        <v>0</v>
      </c>
      <c r="H17" s="7">
        <v>0</v>
      </c>
      <c r="I17" s="7">
        <v>0</v>
      </c>
      <c r="J17" s="7">
        <v>0</v>
      </c>
      <c r="K17" s="7">
        <v>0</v>
      </c>
      <c r="L17" s="7">
        <v>0</v>
      </c>
      <c r="M17" s="7" t="s">
        <v>2891</v>
      </c>
      <c r="N17" s="7" t="s">
        <v>2892</v>
      </c>
    </row>
    <row r="18" spans="1:14" ht="25.5" x14ac:dyDescent="0.25">
      <c r="A18" s="7" t="s">
        <v>2286</v>
      </c>
      <c r="B18" s="7" t="s">
        <v>2893</v>
      </c>
      <c r="C18" s="7" t="s">
        <v>2894</v>
      </c>
      <c r="D18" s="7" t="s">
        <v>2862</v>
      </c>
      <c r="E18" s="7"/>
      <c r="F18" s="7"/>
      <c r="G18" s="7"/>
      <c r="H18" s="7"/>
      <c r="I18" s="7"/>
      <c r="J18" s="7"/>
      <c r="K18" s="7"/>
      <c r="L18" s="7"/>
      <c r="M18" s="7"/>
      <c r="N18" s="7"/>
    </row>
    <row r="19" spans="1:14" ht="25.5" x14ac:dyDescent="0.25">
      <c r="A19" s="7" t="s">
        <v>2286</v>
      </c>
      <c r="B19" s="7" t="s">
        <v>2605</v>
      </c>
      <c r="C19" s="7" t="s">
        <v>2895</v>
      </c>
      <c r="D19" s="7" t="s">
        <v>2862</v>
      </c>
      <c r="E19" s="9">
        <v>1</v>
      </c>
      <c r="F19" s="7">
        <v>0</v>
      </c>
      <c r="G19" s="7">
        <v>0</v>
      </c>
      <c r="H19" s="7">
        <v>0</v>
      </c>
      <c r="I19" s="7">
        <v>0</v>
      </c>
      <c r="J19" s="7">
        <v>0</v>
      </c>
      <c r="K19" s="7">
        <v>0</v>
      </c>
      <c r="L19" s="7">
        <v>0</v>
      </c>
      <c r="M19" s="7"/>
      <c r="N19" s="7" t="s">
        <v>2896</v>
      </c>
    </row>
    <row r="20" spans="1:14" x14ac:dyDescent="0.25">
      <c r="A20" s="7" t="s">
        <v>2286</v>
      </c>
      <c r="B20" s="7" t="s">
        <v>2608</v>
      </c>
      <c r="C20" s="7" t="s">
        <v>2897</v>
      </c>
      <c r="D20" s="7" t="s">
        <v>2862</v>
      </c>
      <c r="E20" s="9">
        <v>2</v>
      </c>
      <c r="F20" s="7">
        <v>0</v>
      </c>
      <c r="G20" s="7">
        <v>0</v>
      </c>
      <c r="H20" s="7">
        <v>0</v>
      </c>
      <c r="I20" s="7">
        <v>0</v>
      </c>
      <c r="J20" s="7">
        <v>0</v>
      </c>
      <c r="K20" s="7">
        <v>0</v>
      </c>
      <c r="L20" s="7">
        <v>0</v>
      </c>
      <c r="M20" s="7"/>
      <c r="N20" s="7" t="s">
        <v>2898</v>
      </c>
    </row>
    <row r="21" spans="1:14" ht="25.5" x14ac:dyDescent="0.25">
      <c r="A21" s="7" t="s">
        <v>2286</v>
      </c>
      <c r="B21" s="7" t="s">
        <v>2899</v>
      </c>
      <c r="C21" s="7" t="s">
        <v>2900</v>
      </c>
      <c r="D21" s="7" t="s">
        <v>2862</v>
      </c>
      <c r="E21" s="7"/>
      <c r="F21" s="7"/>
      <c r="G21" s="7"/>
      <c r="H21" s="7"/>
      <c r="I21" s="7"/>
      <c r="J21" s="7"/>
      <c r="K21" s="7"/>
      <c r="L21" s="7"/>
      <c r="M21" s="7"/>
      <c r="N21" s="7"/>
    </row>
    <row r="22" spans="1:14" ht="25.5" x14ac:dyDescent="0.25">
      <c r="A22" s="7" t="s">
        <v>2286</v>
      </c>
      <c r="B22" s="7" t="s">
        <v>2628</v>
      </c>
      <c r="C22" s="7" t="s">
        <v>2901</v>
      </c>
      <c r="D22" s="7" t="s">
        <v>2862</v>
      </c>
      <c r="E22" s="9">
        <v>5</v>
      </c>
      <c r="F22" s="7">
        <v>0</v>
      </c>
      <c r="G22" s="7">
        <v>0</v>
      </c>
      <c r="H22" s="7">
        <v>0</v>
      </c>
      <c r="I22" s="7">
        <v>0</v>
      </c>
      <c r="J22" s="7">
        <v>0</v>
      </c>
      <c r="K22" s="7">
        <v>0</v>
      </c>
      <c r="L22" s="7">
        <v>0</v>
      </c>
      <c r="M22" s="7" t="s">
        <v>2902</v>
      </c>
      <c r="N22" s="7" t="s">
        <v>2903</v>
      </c>
    </row>
    <row r="23" spans="1:14" x14ac:dyDescent="0.25">
      <c r="A23" s="7" t="s">
        <v>2286</v>
      </c>
      <c r="B23" s="7" t="s">
        <v>2645</v>
      </c>
      <c r="C23" s="7" t="s">
        <v>2904</v>
      </c>
      <c r="D23" s="7" t="s">
        <v>2862</v>
      </c>
      <c r="E23" s="9">
        <v>2</v>
      </c>
      <c r="F23" s="7">
        <v>0</v>
      </c>
      <c r="G23" s="7">
        <v>0</v>
      </c>
      <c r="H23" s="7">
        <v>0</v>
      </c>
      <c r="I23" s="7">
        <v>0</v>
      </c>
      <c r="J23" s="7">
        <v>0</v>
      </c>
      <c r="K23" s="7">
        <v>0</v>
      </c>
      <c r="L23" s="7">
        <v>0</v>
      </c>
      <c r="M23" s="7"/>
      <c r="N23" s="7" t="s">
        <v>2905</v>
      </c>
    </row>
    <row r="24" spans="1:14" x14ac:dyDescent="0.25">
      <c r="A24" s="7" t="s">
        <v>2286</v>
      </c>
      <c r="B24" s="7" t="s">
        <v>2906</v>
      </c>
      <c r="C24" s="7" t="s">
        <v>2904</v>
      </c>
      <c r="D24" s="7" t="s">
        <v>2862</v>
      </c>
      <c r="E24" s="7"/>
      <c r="F24" s="7"/>
      <c r="G24" s="7"/>
      <c r="H24" s="7"/>
      <c r="I24" s="7"/>
      <c r="J24" s="7"/>
      <c r="K24" s="7"/>
      <c r="L24" s="7"/>
      <c r="M24" s="7"/>
      <c r="N24" s="7"/>
    </row>
    <row r="25" spans="1:14" x14ac:dyDescent="0.25">
      <c r="A25" s="7" t="s">
        <v>2286</v>
      </c>
      <c r="B25" s="7" t="s">
        <v>2674</v>
      </c>
      <c r="C25" s="7" t="s">
        <v>2907</v>
      </c>
      <c r="D25" s="7" t="s">
        <v>2862</v>
      </c>
      <c r="E25" s="9">
        <v>1</v>
      </c>
      <c r="F25" s="7">
        <v>0</v>
      </c>
      <c r="G25" s="7">
        <v>0</v>
      </c>
      <c r="H25" s="7">
        <v>0</v>
      </c>
      <c r="I25" s="7">
        <v>0</v>
      </c>
      <c r="J25" s="7">
        <v>0</v>
      </c>
      <c r="K25" s="7">
        <v>0</v>
      </c>
      <c r="L25" s="7">
        <v>0</v>
      </c>
      <c r="M25" s="7"/>
      <c r="N25" s="7" t="s">
        <v>2908</v>
      </c>
    </row>
    <row r="26" spans="1:14" ht="25.5" x14ac:dyDescent="0.25">
      <c r="A26" s="7" t="s">
        <v>2286</v>
      </c>
      <c r="B26" s="7" t="s">
        <v>2909</v>
      </c>
      <c r="C26" s="7" t="s">
        <v>2910</v>
      </c>
      <c r="D26" s="7" t="s">
        <v>2862</v>
      </c>
      <c r="E26" s="7"/>
      <c r="F26" s="7"/>
      <c r="G26" s="7"/>
      <c r="H26" s="7"/>
      <c r="I26" s="7"/>
      <c r="J26" s="7"/>
      <c r="K26" s="7"/>
      <c r="L26" s="7"/>
      <c r="M26" s="7"/>
      <c r="N26" s="7"/>
    </row>
    <row r="27" spans="1:14" x14ac:dyDescent="0.25">
      <c r="A27" s="7" t="s">
        <v>2286</v>
      </c>
      <c r="B27" s="7" t="s">
        <v>2911</v>
      </c>
      <c r="C27" s="7" t="s">
        <v>2910</v>
      </c>
      <c r="D27" s="7" t="s">
        <v>2862</v>
      </c>
      <c r="E27" s="7"/>
      <c r="F27" s="7"/>
      <c r="G27" s="7"/>
      <c r="H27" s="7"/>
      <c r="I27" s="7"/>
      <c r="J27" s="7"/>
      <c r="K27" s="7"/>
      <c r="L27" s="7"/>
      <c r="M27" s="7"/>
      <c r="N27" s="7"/>
    </row>
    <row r="28" spans="1:14" ht="25.5" x14ac:dyDescent="0.25">
      <c r="A28" s="7" t="s">
        <v>2286</v>
      </c>
      <c r="B28" s="7" t="s">
        <v>2723</v>
      </c>
      <c r="C28" s="7" t="s">
        <v>2912</v>
      </c>
      <c r="D28" s="7" t="s">
        <v>372</v>
      </c>
      <c r="E28" s="7">
        <v>0</v>
      </c>
      <c r="F28" s="7">
        <v>0</v>
      </c>
      <c r="G28" s="8">
        <v>1</v>
      </c>
      <c r="H28" s="7">
        <v>0</v>
      </c>
      <c r="I28" s="7">
        <v>0</v>
      </c>
      <c r="J28" s="7">
        <v>0</v>
      </c>
      <c r="K28" s="7">
        <v>0</v>
      </c>
      <c r="L28" s="7">
        <v>0</v>
      </c>
      <c r="M28" s="7"/>
      <c r="N28" s="7" t="s">
        <v>2913</v>
      </c>
    </row>
    <row r="29" spans="1:14" ht="25.5" x14ac:dyDescent="0.25">
      <c r="A29" s="7" t="s">
        <v>2286</v>
      </c>
      <c r="B29" s="7" t="s">
        <v>2728</v>
      </c>
      <c r="C29" s="7" t="s">
        <v>2914</v>
      </c>
      <c r="D29" s="7" t="s">
        <v>372</v>
      </c>
      <c r="E29" s="7">
        <v>0</v>
      </c>
      <c r="F29" s="7">
        <v>0</v>
      </c>
      <c r="G29" s="8">
        <v>3</v>
      </c>
      <c r="H29" s="7">
        <v>0</v>
      </c>
      <c r="I29" s="7">
        <v>0</v>
      </c>
      <c r="J29" s="7">
        <v>0</v>
      </c>
      <c r="K29" s="7">
        <v>0</v>
      </c>
      <c r="L29" s="7">
        <v>0</v>
      </c>
      <c r="M29" s="7"/>
      <c r="N29" s="7" t="s">
        <v>2915</v>
      </c>
    </row>
    <row r="30" spans="1:14" x14ac:dyDescent="0.25">
      <c r="A30" s="7" t="s">
        <v>2286</v>
      </c>
      <c r="B30" s="7" t="s">
        <v>2737</v>
      </c>
      <c r="C30" s="7" t="s">
        <v>2916</v>
      </c>
      <c r="D30" s="7" t="s">
        <v>2862</v>
      </c>
      <c r="E30" s="9">
        <v>1</v>
      </c>
      <c r="F30" s="7">
        <v>0</v>
      </c>
      <c r="G30" s="7">
        <v>0</v>
      </c>
      <c r="H30" s="7">
        <v>0</v>
      </c>
      <c r="I30" s="7">
        <v>0</v>
      </c>
      <c r="J30" s="7">
        <v>0</v>
      </c>
      <c r="K30" s="7">
        <v>0</v>
      </c>
      <c r="L30" s="7">
        <v>0</v>
      </c>
      <c r="M30" s="7"/>
      <c r="N30" s="7" t="s">
        <v>2917</v>
      </c>
    </row>
    <row r="31" spans="1:14" ht="25.5" x14ac:dyDescent="0.25">
      <c r="A31" s="7" t="s">
        <v>2286</v>
      </c>
      <c r="B31" s="7" t="s">
        <v>2742</v>
      </c>
      <c r="C31" s="7" t="s">
        <v>2918</v>
      </c>
      <c r="D31" s="7" t="s">
        <v>2862</v>
      </c>
      <c r="E31" s="9">
        <v>5</v>
      </c>
      <c r="F31" s="7">
        <v>0</v>
      </c>
      <c r="G31" s="7">
        <v>0</v>
      </c>
      <c r="H31" s="7">
        <v>0</v>
      </c>
      <c r="I31" s="10">
        <v>1</v>
      </c>
      <c r="J31" s="7">
        <v>0</v>
      </c>
      <c r="K31" s="7">
        <v>0</v>
      </c>
      <c r="L31" s="7">
        <v>0</v>
      </c>
      <c r="M31" s="7" t="s">
        <v>2919</v>
      </c>
      <c r="N31" s="7" t="s">
        <v>2920</v>
      </c>
    </row>
    <row r="32" spans="1:14" ht="25.5" x14ac:dyDescent="0.25">
      <c r="A32" s="7" t="s">
        <v>2286</v>
      </c>
      <c r="B32" s="7" t="s">
        <v>2761</v>
      </c>
      <c r="C32" s="7" t="s">
        <v>2921</v>
      </c>
      <c r="D32" s="7" t="s">
        <v>2862</v>
      </c>
      <c r="E32" s="9">
        <v>9</v>
      </c>
      <c r="F32" s="7">
        <v>0</v>
      </c>
      <c r="G32" s="7">
        <v>0</v>
      </c>
      <c r="H32" s="7">
        <v>0</v>
      </c>
      <c r="I32" s="7">
        <v>0</v>
      </c>
      <c r="J32" s="7">
        <v>0</v>
      </c>
      <c r="K32" s="7">
        <v>0</v>
      </c>
      <c r="L32" s="7">
        <v>0</v>
      </c>
      <c r="M32" s="7"/>
      <c r="N32" s="7" t="s">
        <v>2922</v>
      </c>
    </row>
    <row r="33" spans="1:14" ht="25.5" x14ac:dyDescent="0.25">
      <c r="A33" s="7" t="s">
        <v>2286</v>
      </c>
      <c r="B33" s="7" t="s">
        <v>2778</v>
      </c>
      <c r="C33" s="7" t="s">
        <v>2923</v>
      </c>
      <c r="D33" s="7" t="s">
        <v>2862</v>
      </c>
      <c r="E33" s="9">
        <v>7</v>
      </c>
      <c r="F33" s="7">
        <v>0</v>
      </c>
      <c r="G33" s="7">
        <v>0</v>
      </c>
      <c r="H33" s="7">
        <v>0</v>
      </c>
      <c r="I33" s="7">
        <v>0</v>
      </c>
      <c r="J33" s="7">
        <v>0</v>
      </c>
      <c r="K33" s="7">
        <v>0</v>
      </c>
      <c r="L33" s="7">
        <v>0</v>
      </c>
      <c r="M33" s="7"/>
      <c r="N33" s="7" t="s">
        <v>2924</v>
      </c>
    </row>
    <row r="34" spans="1:14" x14ac:dyDescent="0.25">
      <c r="A34" s="7" t="s">
        <v>2286</v>
      </c>
      <c r="B34" s="7" t="s">
        <v>2797</v>
      </c>
      <c r="C34" s="7" t="s">
        <v>2925</v>
      </c>
      <c r="D34" s="7" t="s">
        <v>2862</v>
      </c>
      <c r="E34" s="9">
        <v>1</v>
      </c>
      <c r="F34" s="7">
        <v>0</v>
      </c>
      <c r="G34" s="7">
        <v>0</v>
      </c>
      <c r="H34" s="7">
        <v>0</v>
      </c>
      <c r="I34" s="7">
        <v>0</v>
      </c>
      <c r="J34" s="7">
        <v>0</v>
      </c>
      <c r="K34" s="7">
        <v>0</v>
      </c>
      <c r="L34" s="7">
        <v>0</v>
      </c>
      <c r="M34" s="7"/>
      <c r="N34" s="7" t="s">
        <v>2926</v>
      </c>
    </row>
    <row r="35" spans="1:14" ht="25.5" x14ac:dyDescent="0.25">
      <c r="A35" s="7" t="s">
        <v>2286</v>
      </c>
      <c r="B35" s="7" t="s">
        <v>2927</v>
      </c>
      <c r="C35" s="7" t="s">
        <v>2928</v>
      </c>
      <c r="D35" s="7" t="s">
        <v>2862</v>
      </c>
      <c r="E35" s="7"/>
      <c r="F35" s="7"/>
      <c r="G35" s="7"/>
      <c r="H35" s="7"/>
      <c r="I35" s="7"/>
      <c r="J35" s="7"/>
      <c r="K35" s="7"/>
      <c r="L35" s="7"/>
      <c r="M35" s="7"/>
      <c r="N35" s="7"/>
    </row>
    <row r="36" spans="1:14" ht="25.5" x14ac:dyDescent="0.25">
      <c r="A36" s="7" t="s">
        <v>2286</v>
      </c>
      <c r="B36" s="7" t="s">
        <v>2818</v>
      </c>
      <c r="C36" s="7" t="s">
        <v>2929</v>
      </c>
      <c r="D36" s="7" t="s">
        <v>970</v>
      </c>
      <c r="E36" s="7">
        <v>0</v>
      </c>
      <c r="F36" s="7">
        <v>0</v>
      </c>
      <c r="G36" s="7">
        <v>0</v>
      </c>
      <c r="H36" s="7">
        <v>0</v>
      </c>
      <c r="I36" s="10">
        <v>3</v>
      </c>
      <c r="J36" s="7">
        <v>0</v>
      </c>
      <c r="K36" s="7">
        <v>0</v>
      </c>
      <c r="L36" s="7">
        <v>0</v>
      </c>
      <c r="M36" s="7"/>
      <c r="N36" s="7" t="s">
        <v>2930</v>
      </c>
    </row>
    <row r="37" spans="1:14" x14ac:dyDescent="0.25">
      <c r="A37" s="7" t="s">
        <v>2286</v>
      </c>
      <c r="B37" s="7" t="s">
        <v>2828</v>
      </c>
      <c r="C37" s="7" t="s">
        <v>2931</v>
      </c>
      <c r="D37" s="7" t="s">
        <v>2862</v>
      </c>
      <c r="E37" s="9">
        <v>2</v>
      </c>
      <c r="F37" s="7">
        <v>0</v>
      </c>
      <c r="G37" s="7">
        <v>0</v>
      </c>
      <c r="H37" s="7">
        <v>0</v>
      </c>
      <c r="I37" s="7">
        <v>0</v>
      </c>
      <c r="J37" s="7">
        <v>0</v>
      </c>
      <c r="K37" s="7">
        <v>0</v>
      </c>
      <c r="L37" s="7">
        <v>0</v>
      </c>
      <c r="M37" s="7"/>
      <c r="N37" s="7" t="s">
        <v>2932</v>
      </c>
    </row>
    <row r="38" spans="1:14" x14ac:dyDescent="0.25">
      <c r="A38" s="7" t="s">
        <v>2286</v>
      </c>
      <c r="B38" s="7" t="s">
        <v>2836</v>
      </c>
      <c r="C38" s="7" t="s">
        <v>2933</v>
      </c>
      <c r="D38" s="7" t="s">
        <v>2862</v>
      </c>
      <c r="E38" s="9">
        <v>2</v>
      </c>
      <c r="F38" s="7">
        <v>0</v>
      </c>
      <c r="G38" s="7">
        <v>0</v>
      </c>
      <c r="H38" s="7">
        <v>0</v>
      </c>
      <c r="I38" s="7">
        <v>0</v>
      </c>
      <c r="J38" s="7">
        <v>0</v>
      </c>
      <c r="K38" s="7">
        <v>0</v>
      </c>
      <c r="L38" s="7">
        <v>0</v>
      </c>
      <c r="M38" s="7"/>
      <c r="N38" s="7" t="s">
        <v>2934</v>
      </c>
    </row>
    <row r="39" spans="1:14" ht="25.5" x14ac:dyDescent="0.25">
      <c r="A39" s="7" t="s">
        <v>2286</v>
      </c>
      <c r="B39" s="7" t="s">
        <v>2935</v>
      </c>
      <c r="C39" s="7" t="s">
        <v>2936</v>
      </c>
      <c r="D39" s="7" t="s">
        <v>372</v>
      </c>
      <c r="E39" s="7"/>
      <c r="F39" s="7"/>
      <c r="G39" s="7"/>
      <c r="H39" s="7"/>
      <c r="I39" s="7"/>
      <c r="J39" s="7"/>
      <c r="K39" s="7"/>
      <c r="L39" s="7"/>
      <c r="M39" s="7"/>
      <c r="N39" s="7"/>
    </row>
    <row r="40" spans="1:14" x14ac:dyDescent="0.25">
      <c r="A40" s="7" t="s">
        <v>2286</v>
      </c>
      <c r="B40" s="7" t="s">
        <v>2849</v>
      </c>
      <c r="C40" s="7" t="s">
        <v>2937</v>
      </c>
      <c r="D40" s="7" t="s">
        <v>970</v>
      </c>
      <c r="E40" s="7">
        <v>0</v>
      </c>
      <c r="F40" s="7">
        <v>0</v>
      </c>
      <c r="G40" s="7">
        <v>0</v>
      </c>
      <c r="H40" s="7">
        <v>0</v>
      </c>
      <c r="I40" s="10">
        <v>1</v>
      </c>
      <c r="J40" s="7">
        <v>0</v>
      </c>
      <c r="K40" s="7">
        <v>0</v>
      </c>
      <c r="L40" s="7">
        <v>0</v>
      </c>
      <c r="M40" s="7"/>
      <c r="N40" s="7" t="s">
        <v>2938</v>
      </c>
    </row>
    <row r="41" spans="1:14" x14ac:dyDescent="0.25">
      <c r="A41" s="7" t="s">
        <v>19</v>
      </c>
      <c r="B41" s="7" t="s">
        <v>21</v>
      </c>
      <c r="C41" s="7" t="s">
        <v>2939</v>
      </c>
      <c r="D41" s="7" t="s">
        <v>2862</v>
      </c>
      <c r="E41" s="9">
        <v>3</v>
      </c>
      <c r="F41" s="7">
        <v>0</v>
      </c>
      <c r="G41" s="7">
        <v>0</v>
      </c>
      <c r="H41" s="7">
        <v>0</v>
      </c>
      <c r="I41" s="7">
        <v>0</v>
      </c>
      <c r="J41" s="7">
        <v>0</v>
      </c>
      <c r="K41" s="7">
        <v>0</v>
      </c>
      <c r="L41" s="7">
        <v>0</v>
      </c>
      <c r="M41" s="7"/>
      <c r="N41" s="7" t="s">
        <v>2940</v>
      </c>
    </row>
    <row r="42" spans="1:14" ht="25.5" x14ac:dyDescent="0.25">
      <c r="A42" s="7" t="s">
        <v>19</v>
      </c>
      <c r="B42" s="7" t="s">
        <v>39</v>
      </c>
      <c r="C42" s="7" t="s">
        <v>2941</v>
      </c>
      <c r="D42" s="7" t="s">
        <v>2862</v>
      </c>
      <c r="E42" s="9">
        <v>4</v>
      </c>
      <c r="F42" s="7">
        <v>0</v>
      </c>
      <c r="G42" s="7">
        <v>0</v>
      </c>
      <c r="H42" s="7">
        <v>0</v>
      </c>
      <c r="I42" s="10">
        <v>2</v>
      </c>
      <c r="J42" s="7">
        <v>0</v>
      </c>
      <c r="K42" s="7">
        <v>0</v>
      </c>
      <c r="L42" s="7">
        <v>0</v>
      </c>
      <c r="M42" s="7"/>
      <c r="N42" s="7" t="s">
        <v>2942</v>
      </c>
    </row>
    <row r="43" spans="1:14" x14ac:dyDescent="0.25">
      <c r="A43" s="7" t="s">
        <v>19</v>
      </c>
      <c r="B43" s="7" t="s">
        <v>58</v>
      </c>
      <c r="C43" s="7" t="s">
        <v>2943</v>
      </c>
      <c r="D43" s="7" t="s">
        <v>2862</v>
      </c>
      <c r="E43" s="7">
        <v>0</v>
      </c>
      <c r="F43" s="7">
        <v>0</v>
      </c>
      <c r="G43" s="7">
        <v>0</v>
      </c>
      <c r="H43" s="7">
        <v>0</v>
      </c>
      <c r="I43" s="7">
        <v>0</v>
      </c>
      <c r="J43" s="11">
        <v>5</v>
      </c>
      <c r="K43" s="7">
        <v>0</v>
      </c>
      <c r="L43" s="7">
        <v>0</v>
      </c>
      <c r="M43" s="7"/>
      <c r="N43" s="7" t="s">
        <v>2944</v>
      </c>
    </row>
    <row r="44" spans="1:14" x14ac:dyDescent="0.25">
      <c r="A44" s="7" t="s">
        <v>19</v>
      </c>
      <c r="B44" s="7" t="s">
        <v>77</v>
      </c>
      <c r="C44" s="7" t="s">
        <v>2945</v>
      </c>
      <c r="D44" s="7" t="s">
        <v>2862</v>
      </c>
      <c r="E44" s="9">
        <v>3</v>
      </c>
      <c r="F44" s="7">
        <v>0</v>
      </c>
      <c r="G44" s="7">
        <v>0</v>
      </c>
      <c r="H44" s="7">
        <v>0</v>
      </c>
      <c r="I44" s="10">
        <v>1</v>
      </c>
      <c r="J44" s="7">
        <v>0</v>
      </c>
      <c r="K44" s="7">
        <v>0</v>
      </c>
      <c r="L44" s="7">
        <v>0</v>
      </c>
      <c r="M44" s="7"/>
      <c r="N44" s="7" t="s">
        <v>2946</v>
      </c>
    </row>
    <row r="45" spans="1:14" x14ac:dyDescent="0.25">
      <c r="A45" s="7" t="s">
        <v>19</v>
      </c>
      <c r="B45" s="7" t="s">
        <v>92</v>
      </c>
      <c r="C45" s="7" t="s">
        <v>2947</v>
      </c>
      <c r="D45" s="7" t="s">
        <v>2862</v>
      </c>
      <c r="E45" s="9">
        <v>3</v>
      </c>
      <c r="F45" s="7">
        <v>0</v>
      </c>
      <c r="G45" s="7">
        <v>0</v>
      </c>
      <c r="H45" s="7">
        <v>0</v>
      </c>
      <c r="I45" s="10">
        <v>1</v>
      </c>
      <c r="J45" s="7">
        <v>0</v>
      </c>
      <c r="K45" s="7">
        <v>0</v>
      </c>
      <c r="L45" s="7">
        <v>0</v>
      </c>
      <c r="M45" s="7"/>
      <c r="N45" s="7" t="s">
        <v>2948</v>
      </c>
    </row>
    <row r="46" spans="1:14" x14ac:dyDescent="0.25">
      <c r="A46" s="7" t="s">
        <v>19</v>
      </c>
      <c r="B46" s="7" t="s">
        <v>104</v>
      </c>
      <c r="C46" s="7" t="s">
        <v>2949</v>
      </c>
      <c r="D46" s="7" t="s">
        <v>2862</v>
      </c>
      <c r="E46" s="9">
        <v>3</v>
      </c>
      <c r="F46" s="7">
        <v>0</v>
      </c>
      <c r="G46" s="7">
        <v>0</v>
      </c>
      <c r="H46" s="7">
        <v>0</v>
      </c>
      <c r="I46" s="7">
        <v>0</v>
      </c>
      <c r="J46" s="7">
        <v>0</v>
      </c>
      <c r="K46" s="7">
        <v>0</v>
      </c>
      <c r="L46" s="7">
        <v>0</v>
      </c>
      <c r="M46" s="7"/>
      <c r="N46" s="7" t="s">
        <v>2950</v>
      </c>
    </row>
    <row r="47" spans="1:14" ht="76.5" x14ac:dyDescent="0.25">
      <c r="A47" s="7" t="s">
        <v>19</v>
      </c>
      <c r="B47" s="7" t="s">
        <v>112</v>
      </c>
      <c r="C47" s="7" t="s">
        <v>2951</v>
      </c>
      <c r="D47" s="7" t="s">
        <v>2952</v>
      </c>
      <c r="E47" s="9">
        <v>2</v>
      </c>
      <c r="F47" s="7">
        <v>0</v>
      </c>
      <c r="G47" s="7">
        <v>0</v>
      </c>
      <c r="H47" s="7">
        <v>0</v>
      </c>
      <c r="I47" s="10">
        <v>1</v>
      </c>
      <c r="J47" s="7">
        <v>0</v>
      </c>
      <c r="K47" s="7">
        <v>0</v>
      </c>
      <c r="L47" s="7">
        <v>0</v>
      </c>
      <c r="M47" s="7" t="s">
        <v>2953</v>
      </c>
      <c r="N47" s="7" t="s">
        <v>2954</v>
      </c>
    </row>
    <row r="48" spans="1:14" x14ac:dyDescent="0.25">
      <c r="A48" s="7" t="s">
        <v>19</v>
      </c>
      <c r="B48" s="7" t="s">
        <v>131</v>
      </c>
      <c r="C48" s="7" t="s">
        <v>2955</v>
      </c>
      <c r="D48" s="7" t="s">
        <v>2862</v>
      </c>
      <c r="E48" s="9">
        <v>3</v>
      </c>
      <c r="F48" s="7">
        <v>0</v>
      </c>
      <c r="G48" s="7">
        <v>0</v>
      </c>
      <c r="H48" s="7">
        <v>0</v>
      </c>
      <c r="I48" s="7">
        <v>0</v>
      </c>
      <c r="J48" s="7">
        <v>0</v>
      </c>
      <c r="K48" s="7">
        <v>0</v>
      </c>
      <c r="L48" s="7">
        <v>0</v>
      </c>
      <c r="M48" s="7"/>
      <c r="N48" s="7" t="s">
        <v>2956</v>
      </c>
    </row>
    <row r="49" spans="1:14" x14ac:dyDescent="0.25">
      <c r="A49" s="7" t="s">
        <v>19</v>
      </c>
      <c r="B49" s="7" t="s">
        <v>139</v>
      </c>
      <c r="C49" s="7" t="s">
        <v>2957</v>
      </c>
      <c r="D49" s="7" t="s">
        <v>2862</v>
      </c>
      <c r="E49" s="9">
        <v>2</v>
      </c>
      <c r="F49" s="7">
        <v>0</v>
      </c>
      <c r="G49" s="7">
        <v>0</v>
      </c>
      <c r="H49" s="7">
        <v>0</v>
      </c>
      <c r="I49" s="7">
        <v>0</v>
      </c>
      <c r="J49" s="7">
        <v>0</v>
      </c>
      <c r="K49" s="7">
        <v>0</v>
      </c>
      <c r="L49" s="7">
        <v>0</v>
      </c>
      <c r="M49" s="7"/>
      <c r="N49" s="7" t="s">
        <v>2958</v>
      </c>
    </row>
    <row r="50" spans="1:14" ht="25.5" x14ac:dyDescent="0.25">
      <c r="A50" s="7" t="s">
        <v>19</v>
      </c>
      <c r="B50" s="7" t="s">
        <v>148</v>
      </c>
      <c r="C50" s="7" t="s">
        <v>2959</v>
      </c>
      <c r="D50" s="7" t="s">
        <v>2862</v>
      </c>
      <c r="E50" s="9">
        <v>2</v>
      </c>
      <c r="F50" s="7">
        <v>0</v>
      </c>
      <c r="G50" s="7">
        <v>0</v>
      </c>
      <c r="H50" s="7">
        <v>0</v>
      </c>
      <c r="I50" s="7">
        <v>0</v>
      </c>
      <c r="J50" s="7">
        <v>0</v>
      </c>
      <c r="K50" s="7">
        <v>0</v>
      </c>
      <c r="L50" s="7">
        <v>0</v>
      </c>
      <c r="M50" s="7" t="s">
        <v>2960</v>
      </c>
      <c r="N50" s="7" t="s">
        <v>2961</v>
      </c>
    </row>
    <row r="51" spans="1:14" ht="25.5" x14ac:dyDescent="0.25">
      <c r="A51" s="7" t="s">
        <v>19</v>
      </c>
      <c r="B51" s="7" t="s">
        <v>158</v>
      </c>
      <c r="C51" s="7" t="s">
        <v>2962</v>
      </c>
      <c r="D51" s="7" t="s">
        <v>970</v>
      </c>
      <c r="E51" s="7">
        <v>0</v>
      </c>
      <c r="F51" s="7">
        <v>0</v>
      </c>
      <c r="G51" s="7">
        <v>0</v>
      </c>
      <c r="H51" s="7">
        <v>0</v>
      </c>
      <c r="I51" s="10">
        <v>1</v>
      </c>
      <c r="J51" s="7">
        <v>0</v>
      </c>
      <c r="K51" s="7">
        <v>0</v>
      </c>
      <c r="L51" s="7">
        <v>0</v>
      </c>
      <c r="M51" s="7"/>
      <c r="N51" s="7" t="s">
        <v>2963</v>
      </c>
    </row>
    <row r="52" spans="1:14" ht="25.5" x14ac:dyDescent="0.25">
      <c r="A52" s="7" t="s">
        <v>19</v>
      </c>
      <c r="B52" s="7" t="s">
        <v>162</v>
      </c>
      <c r="C52" s="7" t="s">
        <v>2964</v>
      </c>
      <c r="D52" s="7" t="s">
        <v>970</v>
      </c>
      <c r="E52" s="7">
        <v>0</v>
      </c>
      <c r="F52" s="7">
        <v>0</v>
      </c>
      <c r="G52" s="7">
        <v>0</v>
      </c>
      <c r="H52" s="7">
        <v>0</v>
      </c>
      <c r="I52" s="10">
        <v>1</v>
      </c>
      <c r="J52" s="7">
        <v>0</v>
      </c>
      <c r="K52" s="7">
        <v>0</v>
      </c>
      <c r="L52" s="7">
        <v>0</v>
      </c>
      <c r="M52" s="7"/>
      <c r="N52" s="7" t="s">
        <v>2965</v>
      </c>
    </row>
    <row r="53" spans="1:14" ht="25.5" x14ac:dyDescent="0.25">
      <c r="A53" s="7" t="s">
        <v>19</v>
      </c>
      <c r="B53" s="7" t="s">
        <v>165</v>
      </c>
      <c r="C53" s="7" t="s">
        <v>2966</v>
      </c>
      <c r="D53" s="7" t="s">
        <v>2862</v>
      </c>
      <c r="E53" s="9">
        <v>3</v>
      </c>
      <c r="F53" s="12">
        <v>1</v>
      </c>
      <c r="G53" s="7">
        <v>0</v>
      </c>
      <c r="H53" s="13">
        <v>1</v>
      </c>
      <c r="I53" s="7">
        <v>0</v>
      </c>
      <c r="J53" s="7">
        <v>0</v>
      </c>
      <c r="K53" s="7">
        <v>0</v>
      </c>
      <c r="L53" s="7">
        <v>0</v>
      </c>
      <c r="M53" s="7" t="s">
        <v>2967</v>
      </c>
      <c r="N53" s="7" t="s">
        <v>2968</v>
      </c>
    </row>
    <row r="54" spans="1:14" ht="25.5" x14ac:dyDescent="0.25">
      <c r="A54" s="7" t="s">
        <v>19</v>
      </c>
      <c r="B54" s="7" t="s">
        <v>188</v>
      </c>
      <c r="C54" s="7" t="s">
        <v>2969</v>
      </c>
      <c r="D54" s="7" t="s">
        <v>2862</v>
      </c>
      <c r="E54" s="9">
        <v>1</v>
      </c>
      <c r="F54" s="7">
        <v>0</v>
      </c>
      <c r="G54" s="7">
        <v>0</v>
      </c>
      <c r="H54" s="7">
        <v>0</v>
      </c>
      <c r="I54" s="10">
        <v>1</v>
      </c>
      <c r="J54" s="7">
        <v>0</v>
      </c>
      <c r="K54" s="7">
        <v>0</v>
      </c>
      <c r="L54" s="7">
        <v>0</v>
      </c>
      <c r="M54" s="7"/>
      <c r="N54" s="7" t="s">
        <v>2970</v>
      </c>
    </row>
    <row r="55" spans="1:14" x14ac:dyDescent="0.25">
      <c r="A55" s="7" t="s">
        <v>19</v>
      </c>
      <c r="B55" s="7" t="s">
        <v>195</v>
      </c>
      <c r="C55" s="7" t="s">
        <v>2971</v>
      </c>
      <c r="D55" s="7" t="s">
        <v>2862</v>
      </c>
      <c r="E55" s="9">
        <v>2</v>
      </c>
      <c r="F55" s="7">
        <v>0</v>
      </c>
      <c r="G55" s="7">
        <v>0</v>
      </c>
      <c r="H55" s="7">
        <v>0</v>
      </c>
      <c r="I55" s="10">
        <v>2</v>
      </c>
      <c r="J55" s="7">
        <v>0</v>
      </c>
      <c r="K55" s="7">
        <v>0</v>
      </c>
      <c r="L55" s="7">
        <v>0</v>
      </c>
      <c r="M55" s="7"/>
      <c r="N55" s="7" t="s">
        <v>2972</v>
      </c>
    </row>
    <row r="56" spans="1:14" x14ac:dyDescent="0.25">
      <c r="A56" s="7" t="s">
        <v>19</v>
      </c>
      <c r="B56" s="7" t="s">
        <v>206</v>
      </c>
      <c r="C56" s="7" t="s">
        <v>2973</v>
      </c>
      <c r="D56" s="7" t="s">
        <v>2862</v>
      </c>
      <c r="E56" s="9">
        <v>3</v>
      </c>
      <c r="F56" s="7">
        <v>0</v>
      </c>
      <c r="G56" s="7">
        <v>0</v>
      </c>
      <c r="H56" s="7">
        <v>0</v>
      </c>
      <c r="I56" s="10">
        <v>1</v>
      </c>
      <c r="J56" s="7">
        <v>0</v>
      </c>
      <c r="K56" s="7">
        <v>0</v>
      </c>
      <c r="L56" s="7">
        <v>0</v>
      </c>
      <c r="M56" s="7" t="s">
        <v>2974</v>
      </c>
      <c r="N56" s="7" t="s">
        <v>2975</v>
      </c>
    </row>
    <row r="57" spans="1:14" x14ac:dyDescent="0.25">
      <c r="A57" s="7" t="s">
        <v>19</v>
      </c>
      <c r="B57" s="7" t="s">
        <v>217</v>
      </c>
      <c r="C57" s="7" t="s">
        <v>2976</v>
      </c>
      <c r="D57" s="7" t="s">
        <v>2862</v>
      </c>
      <c r="E57" s="9">
        <v>3</v>
      </c>
      <c r="F57" s="7">
        <v>0</v>
      </c>
      <c r="G57" s="7">
        <v>0</v>
      </c>
      <c r="H57" s="7">
        <v>0</v>
      </c>
      <c r="I57" s="7">
        <v>0</v>
      </c>
      <c r="J57" s="7">
        <v>0</v>
      </c>
      <c r="K57" s="7">
        <v>0</v>
      </c>
      <c r="L57" s="7">
        <v>0</v>
      </c>
      <c r="M57" s="7"/>
      <c r="N57" s="7" t="s">
        <v>2977</v>
      </c>
    </row>
    <row r="58" spans="1:14" ht="25.5" x14ac:dyDescent="0.25">
      <c r="A58" s="7" t="s">
        <v>19</v>
      </c>
      <c r="B58" s="7" t="s">
        <v>225</v>
      </c>
      <c r="C58" s="7" t="s">
        <v>2978</v>
      </c>
      <c r="D58" s="7" t="s">
        <v>2862</v>
      </c>
      <c r="E58" s="9">
        <v>2</v>
      </c>
      <c r="F58" s="7">
        <v>0</v>
      </c>
      <c r="G58" s="7">
        <v>0</v>
      </c>
      <c r="H58" s="7">
        <v>0</v>
      </c>
      <c r="I58" s="7">
        <v>0</v>
      </c>
      <c r="J58" s="7">
        <v>0</v>
      </c>
      <c r="K58" s="7">
        <v>0</v>
      </c>
      <c r="L58" s="7">
        <v>0</v>
      </c>
      <c r="M58" s="7" t="s">
        <v>2979</v>
      </c>
      <c r="N58" s="7" t="s">
        <v>2980</v>
      </c>
    </row>
    <row r="59" spans="1:14" ht="89.25" x14ac:dyDescent="0.25">
      <c r="A59" s="7" t="s">
        <v>19</v>
      </c>
      <c r="B59" s="7" t="s">
        <v>232</v>
      </c>
      <c r="C59" s="7" t="s">
        <v>2981</v>
      </c>
      <c r="D59" s="7" t="s">
        <v>2862</v>
      </c>
      <c r="E59" s="9">
        <v>4</v>
      </c>
      <c r="F59" s="7">
        <v>0</v>
      </c>
      <c r="G59" s="7">
        <v>0</v>
      </c>
      <c r="H59" s="7">
        <v>0</v>
      </c>
      <c r="I59" s="7">
        <v>0</v>
      </c>
      <c r="J59" s="7">
        <v>0</v>
      </c>
      <c r="K59" s="7">
        <v>0</v>
      </c>
      <c r="L59" s="7">
        <v>0</v>
      </c>
      <c r="M59" s="7" t="s">
        <v>2982</v>
      </c>
      <c r="N59" s="7" t="s">
        <v>2983</v>
      </c>
    </row>
    <row r="60" spans="1:14" x14ac:dyDescent="0.25">
      <c r="A60" s="7" t="s">
        <v>19</v>
      </c>
      <c r="B60" s="7" t="s">
        <v>247</v>
      </c>
      <c r="C60" s="7" t="s">
        <v>2984</v>
      </c>
      <c r="D60" s="7" t="s">
        <v>2862</v>
      </c>
      <c r="E60" s="9">
        <v>3</v>
      </c>
      <c r="F60" s="7">
        <v>0</v>
      </c>
      <c r="G60" s="7">
        <v>0</v>
      </c>
      <c r="H60" s="7">
        <v>0</v>
      </c>
      <c r="I60" s="10">
        <v>1</v>
      </c>
      <c r="J60" s="7">
        <v>0</v>
      </c>
      <c r="K60" s="7">
        <v>0</v>
      </c>
      <c r="L60" s="7">
        <v>0</v>
      </c>
      <c r="M60" s="7"/>
      <c r="N60" s="7" t="s">
        <v>2985</v>
      </c>
    </row>
    <row r="61" spans="1:14" x14ac:dyDescent="0.25">
      <c r="A61" s="7" t="s">
        <v>19</v>
      </c>
      <c r="B61" s="7" t="s">
        <v>261</v>
      </c>
      <c r="C61" s="7" t="s">
        <v>2986</v>
      </c>
      <c r="D61" s="7" t="s">
        <v>2862</v>
      </c>
      <c r="E61" s="9">
        <v>3</v>
      </c>
      <c r="F61" s="7">
        <v>0</v>
      </c>
      <c r="G61" s="7">
        <v>0</v>
      </c>
      <c r="H61" s="7">
        <v>0</v>
      </c>
      <c r="I61" s="10">
        <v>1</v>
      </c>
      <c r="J61" s="7">
        <v>0</v>
      </c>
      <c r="K61" s="7">
        <v>0</v>
      </c>
      <c r="L61" s="7">
        <v>0</v>
      </c>
      <c r="M61" s="7"/>
      <c r="N61" s="7" t="s">
        <v>2987</v>
      </c>
    </row>
    <row r="62" spans="1:14" x14ac:dyDescent="0.25">
      <c r="A62" s="7" t="s">
        <v>19</v>
      </c>
      <c r="B62" s="7" t="s">
        <v>274</v>
      </c>
      <c r="C62" s="7" t="s">
        <v>2988</v>
      </c>
      <c r="D62" s="7" t="s">
        <v>2862</v>
      </c>
      <c r="E62" s="9">
        <v>2</v>
      </c>
      <c r="F62" s="7">
        <v>0</v>
      </c>
      <c r="G62" s="7">
        <v>0</v>
      </c>
      <c r="H62" s="13">
        <v>1</v>
      </c>
      <c r="I62" s="7">
        <v>0</v>
      </c>
      <c r="J62" s="7">
        <v>0</v>
      </c>
      <c r="K62" s="7">
        <v>0</v>
      </c>
      <c r="L62" s="7">
        <v>0</v>
      </c>
      <c r="M62" s="7"/>
      <c r="N62" s="7" t="s">
        <v>2989</v>
      </c>
    </row>
    <row r="63" spans="1:14" x14ac:dyDescent="0.25">
      <c r="A63" s="7" t="s">
        <v>19</v>
      </c>
      <c r="B63" s="7" t="s">
        <v>282</v>
      </c>
      <c r="C63" s="7" t="s">
        <v>2990</v>
      </c>
      <c r="D63" s="7" t="s">
        <v>2862</v>
      </c>
      <c r="E63" s="9">
        <v>2</v>
      </c>
      <c r="F63" s="7">
        <v>0</v>
      </c>
      <c r="G63" s="7">
        <v>0</v>
      </c>
      <c r="H63" s="13">
        <v>1</v>
      </c>
      <c r="I63" s="7">
        <v>0</v>
      </c>
      <c r="J63" s="7">
        <v>0</v>
      </c>
      <c r="K63" s="7">
        <v>0</v>
      </c>
      <c r="L63" s="7">
        <v>0</v>
      </c>
      <c r="M63" s="7"/>
      <c r="N63" s="7" t="s">
        <v>2991</v>
      </c>
    </row>
    <row r="64" spans="1:14" x14ac:dyDescent="0.25">
      <c r="A64" s="7" t="s">
        <v>19</v>
      </c>
      <c r="B64" s="7" t="s">
        <v>290</v>
      </c>
      <c r="C64" s="7" t="s">
        <v>2992</v>
      </c>
      <c r="D64" s="7" t="s">
        <v>2862</v>
      </c>
      <c r="E64" s="9">
        <v>3</v>
      </c>
      <c r="F64" s="7">
        <v>0</v>
      </c>
      <c r="G64" s="7">
        <v>0</v>
      </c>
      <c r="H64" s="13">
        <v>1</v>
      </c>
      <c r="I64" s="7">
        <v>0</v>
      </c>
      <c r="J64" s="7">
        <v>0</v>
      </c>
      <c r="K64" s="7">
        <v>0</v>
      </c>
      <c r="L64" s="7">
        <v>0</v>
      </c>
      <c r="M64" s="7"/>
      <c r="N64" s="7" t="s">
        <v>2993</v>
      </c>
    </row>
    <row r="65" spans="1:14" x14ac:dyDescent="0.25">
      <c r="A65" s="7" t="s">
        <v>19</v>
      </c>
      <c r="B65" s="7" t="s">
        <v>301</v>
      </c>
      <c r="C65" s="7" t="s">
        <v>2994</v>
      </c>
      <c r="D65" s="7" t="s">
        <v>2862</v>
      </c>
      <c r="E65" s="9">
        <v>3</v>
      </c>
      <c r="F65" s="7">
        <v>0</v>
      </c>
      <c r="G65" s="7">
        <v>0</v>
      </c>
      <c r="H65" s="7">
        <v>0</v>
      </c>
      <c r="I65" s="7">
        <v>0</v>
      </c>
      <c r="J65" s="7">
        <v>0</v>
      </c>
      <c r="K65" s="7">
        <v>0</v>
      </c>
      <c r="L65" s="7">
        <v>0</v>
      </c>
      <c r="M65" s="7"/>
      <c r="N65" s="7" t="s">
        <v>2995</v>
      </c>
    </row>
    <row r="66" spans="1:14" x14ac:dyDescent="0.25">
      <c r="A66" s="7" t="s">
        <v>19</v>
      </c>
      <c r="B66" s="7" t="s">
        <v>311</v>
      </c>
      <c r="C66" s="7" t="s">
        <v>2996</v>
      </c>
      <c r="D66" s="7" t="s">
        <v>2862</v>
      </c>
      <c r="E66" s="9">
        <v>4</v>
      </c>
      <c r="F66" s="7">
        <v>0</v>
      </c>
      <c r="G66" s="7">
        <v>0</v>
      </c>
      <c r="H66" s="7">
        <v>0</v>
      </c>
      <c r="I66" s="10">
        <v>1</v>
      </c>
      <c r="J66" s="7">
        <v>0</v>
      </c>
      <c r="K66" s="7">
        <v>0</v>
      </c>
      <c r="L66" s="7">
        <v>0</v>
      </c>
      <c r="M66" s="7" t="s">
        <v>2997</v>
      </c>
      <c r="N66" s="7" t="s">
        <v>2998</v>
      </c>
    </row>
    <row r="67" spans="1:14" x14ac:dyDescent="0.25">
      <c r="A67" s="7" t="s">
        <v>19</v>
      </c>
      <c r="B67" s="7" t="s">
        <v>324</v>
      </c>
      <c r="C67" s="7" t="s">
        <v>2999</v>
      </c>
      <c r="D67" s="7" t="s">
        <v>2862</v>
      </c>
      <c r="E67" s="9">
        <v>4</v>
      </c>
      <c r="F67" s="7">
        <v>0</v>
      </c>
      <c r="G67" s="7">
        <v>0</v>
      </c>
      <c r="H67" s="7">
        <v>0</v>
      </c>
      <c r="I67" s="10">
        <v>1</v>
      </c>
      <c r="J67" s="7">
        <v>0</v>
      </c>
      <c r="K67" s="7">
        <v>0</v>
      </c>
      <c r="L67" s="7">
        <v>0</v>
      </c>
      <c r="M67" s="7"/>
      <c r="N67" s="7" t="s">
        <v>3000</v>
      </c>
    </row>
    <row r="68" spans="1:14" x14ac:dyDescent="0.25">
      <c r="A68" s="7" t="s">
        <v>19</v>
      </c>
      <c r="B68" s="7" t="s">
        <v>337</v>
      </c>
      <c r="C68" s="7" t="s">
        <v>3001</v>
      </c>
      <c r="D68" s="7" t="s">
        <v>2862</v>
      </c>
      <c r="E68" s="9">
        <v>4</v>
      </c>
      <c r="F68" s="7">
        <v>0</v>
      </c>
      <c r="G68" s="7">
        <v>0</v>
      </c>
      <c r="H68" s="7">
        <v>0</v>
      </c>
      <c r="I68" s="7">
        <v>0</v>
      </c>
      <c r="J68" s="7">
        <v>0</v>
      </c>
      <c r="K68" s="7">
        <v>0</v>
      </c>
      <c r="L68" s="7">
        <v>0</v>
      </c>
      <c r="M68" s="7"/>
      <c r="N68" s="7" t="s">
        <v>3002</v>
      </c>
    </row>
    <row r="69" spans="1:14" x14ac:dyDescent="0.25">
      <c r="A69" s="7" t="s">
        <v>19</v>
      </c>
      <c r="B69" s="7" t="s">
        <v>349</v>
      </c>
      <c r="C69" s="7" t="s">
        <v>3003</v>
      </c>
      <c r="D69" s="7" t="s">
        <v>2862</v>
      </c>
      <c r="E69" s="9">
        <v>1</v>
      </c>
      <c r="F69" s="7">
        <v>0</v>
      </c>
      <c r="G69" s="7">
        <v>0</v>
      </c>
      <c r="H69" s="13">
        <v>1</v>
      </c>
      <c r="I69" s="7">
        <v>0</v>
      </c>
      <c r="J69" s="7">
        <v>0</v>
      </c>
      <c r="K69" s="7">
        <v>0</v>
      </c>
      <c r="L69" s="7">
        <v>0</v>
      </c>
      <c r="M69" s="7" t="s">
        <v>3004</v>
      </c>
      <c r="N69" s="7" t="s">
        <v>3005</v>
      </c>
    </row>
    <row r="70" spans="1:14" ht="25.5" x14ac:dyDescent="0.25">
      <c r="A70" s="7" t="s">
        <v>19</v>
      </c>
      <c r="B70" s="7" t="s">
        <v>357</v>
      </c>
      <c r="C70" s="7" t="s">
        <v>3006</v>
      </c>
      <c r="D70" s="7" t="s">
        <v>2862</v>
      </c>
      <c r="E70" s="7">
        <v>0</v>
      </c>
      <c r="F70" s="7">
        <v>0</v>
      </c>
      <c r="G70" s="7">
        <v>0</v>
      </c>
      <c r="H70" s="13">
        <v>2</v>
      </c>
      <c r="I70" s="7">
        <v>0</v>
      </c>
      <c r="J70" s="7">
        <v>0</v>
      </c>
      <c r="K70" s="7">
        <v>0</v>
      </c>
      <c r="L70" s="7">
        <v>0</v>
      </c>
      <c r="M70" s="7"/>
      <c r="N70" s="7" t="s">
        <v>3007</v>
      </c>
    </row>
    <row r="71" spans="1:14" ht="25.5" x14ac:dyDescent="0.25">
      <c r="A71" s="7" t="s">
        <v>19</v>
      </c>
      <c r="B71" s="7" t="s">
        <v>366</v>
      </c>
      <c r="C71" s="7" t="s">
        <v>3008</v>
      </c>
      <c r="D71" s="7" t="s">
        <v>372</v>
      </c>
      <c r="E71" s="7">
        <v>0</v>
      </c>
      <c r="F71" s="7">
        <v>0</v>
      </c>
      <c r="G71" s="8">
        <v>6</v>
      </c>
      <c r="H71" s="7">
        <v>0</v>
      </c>
      <c r="I71" s="7">
        <v>0</v>
      </c>
      <c r="J71" s="7">
        <v>0</v>
      </c>
      <c r="K71" s="7">
        <v>0</v>
      </c>
      <c r="L71" s="7">
        <v>0</v>
      </c>
      <c r="M71" s="7"/>
      <c r="N71" s="7" t="s">
        <v>3009</v>
      </c>
    </row>
    <row r="72" spans="1:14" x14ac:dyDescent="0.25">
      <c r="A72" s="7" t="s">
        <v>19</v>
      </c>
      <c r="B72" s="7" t="s">
        <v>385</v>
      </c>
      <c r="C72" s="7" t="s">
        <v>3010</v>
      </c>
      <c r="D72" s="7" t="s">
        <v>372</v>
      </c>
      <c r="E72" s="7">
        <v>0</v>
      </c>
      <c r="F72" s="7">
        <v>0</v>
      </c>
      <c r="G72" s="8">
        <v>3</v>
      </c>
      <c r="H72" s="7">
        <v>0</v>
      </c>
      <c r="I72" s="7">
        <v>0</v>
      </c>
      <c r="J72" s="7">
        <v>0</v>
      </c>
      <c r="K72" s="7">
        <v>0</v>
      </c>
      <c r="L72" s="7">
        <v>0</v>
      </c>
      <c r="M72" s="7"/>
      <c r="N72" s="7" t="s">
        <v>3011</v>
      </c>
    </row>
    <row r="73" spans="1:14" ht="25.5" x14ac:dyDescent="0.25">
      <c r="A73" s="7" t="s">
        <v>19</v>
      </c>
      <c r="B73" s="7" t="s">
        <v>394</v>
      </c>
      <c r="C73" s="7" t="s">
        <v>3012</v>
      </c>
      <c r="D73" s="7" t="s">
        <v>2862</v>
      </c>
      <c r="E73" s="9">
        <v>2</v>
      </c>
      <c r="F73" s="7">
        <v>0</v>
      </c>
      <c r="G73" s="7">
        <v>0</v>
      </c>
      <c r="H73" s="7">
        <v>0</v>
      </c>
      <c r="I73" s="10">
        <v>1</v>
      </c>
      <c r="J73" s="7">
        <v>0</v>
      </c>
      <c r="K73" s="7">
        <v>0</v>
      </c>
      <c r="L73" s="7">
        <v>0</v>
      </c>
      <c r="M73" s="7"/>
      <c r="N73" s="7" t="s">
        <v>3013</v>
      </c>
    </row>
    <row r="74" spans="1:14" x14ac:dyDescent="0.25">
      <c r="A74" s="7" t="s">
        <v>19</v>
      </c>
      <c r="B74" s="7" t="s">
        <v>404</v>
      </c>
      <c r="C74" s="7" t="s">
        <v>3014</v>
      </c>
      <c r="D74" s="7" t="s">
        <v>2862</v>
      </c>
      <c r="E74" s="9">
        <v>2</v>
      </c>
      <c r="F74" s="7">
        <v>0</v>
      </c>
      <c r="G74" s="7">
        <v>0</v>
      </c>
      <c r="H74" s="7">
        <v>0</v>
      </c>
      <c r="I74" s="7">
        <v>0</v>
      </c>
      <c r="J74" s="11">
        <v>2</v>
      </c>
      <c r="K74" s="7">
        <v>0</v>
      </c>
      <c r="L74" s="7">
        <v>0</v>
      </c>
      <c r="M74" s="7"/>
      <c r="N74" s="7" t="s">
        <v>3015</v>
      </c>
    </row>
    <row r="75" spans="1:14" ht="102" x14ac:dyDescent="0.25">
      <c r="A75" s="7" t="s">
        <v>19</v>
      </c>
      <c r="B75" s="7" t="s">
        <v>417</v>
      </c>
      <c r="C75" s="7" t="s">
        <v>3016</v>
      </c>
      <c r="D75" s="7" t="s">
        <v>2862</v>
      </c>
      <c r="E75" s="7">
        <v>0</v>
      </c>
      <c r="F75" s="7">
        <v>0</v>
      </c>
      <c r="G75" s="7">
        <v>0</v>
      </c>
      <c r="H75" s="7">
        <v>0</v>
      </c>
      <c r="I75" s="7">
        <v>0</v>
      </c>
      <c r="J75" s="11">
        <v>5</v>
      </c>
      <c r="K75" s="7">
        <v>0</v>
      </c>
      <c r="L75" s="7">
        <v>0</v>
      </c>
      <c r="M75" s="7" t="s">
        <v>3017</v>
      </c>
      <c r="N75" s="7" t="s">
        <v>3018</v>
      </c>
    </row>
    <row r="76" spans="1:14" ht="51" x14ac:dyDescent="0.25">
      <c r="A76" s="7" t="s">
        <v>19</v>
      </c>
      <c r="B76" s="7" t="s">
        <v>435</v>
      </c>
      <c r="C76" s="7" t="s">
        <v>3019</v>
      </c>
      <c r="D76" s="7" t="s">
        <v>2862</v>
      </c>
      <c r="E76" s="7">
        <v>0</v>
      </c>
      <c r="F76" s="7">
        <v>0</v>
      </c>
      <c r="G76" s="7">
        <v>0</v>
      </c>
      <c r="H76" s="13">
        <v>1</v>
      </c>
      <c r="I76" s="10">
        <v>1</v>
      </c>
      <c r="J76" s="7">
        <v>0</v>
      </c>
      <c r="K76" s="7">
        <v>0</v>
      </c>
      <c r="L76" s="7">
        <v>0</v>
      </c>
      <c r="M76" s="7" t="s">
        <v>3020</v>
      </c>
      <c r="N76" s="7" t="s">
        <v>3021</v>
      </c>
    </row>
    <row r="77" spans="1:14" ht="38.25" x14ac:dyDescent="0.25">
      <c r="A77" s="7" t="s">
        <v>19</v>
      </c>
      <c r="B77" s="7" t="s">
        <v>444</v>
      </c>
      <c r="C77" s="7" t="s">
        <v>3022</v>
      </c>
      <c r="D77" s="7" t="s">
        <v>2862</v>
      </c>
      <c r="E77" s="9">
        <v>2</v>
      </c>
      <c r="F77" s="7">
        <v>0</v>
      </c>
      <c r="G77" s="7">
        <v>0</v>
      </c>
      <c r="H77" s="7">
        <v>0</v>
      </c>
      <c r="I77" s="10">
        <v>2</v>
      </c>
      <c r="J77" s="7">
        <v>0</v>
      </c>
      <c r="K77" s="7">
        <v>0</v>
      </c>
      <c r="L77" s="7">
        <v>0</v>
      </c>
      <c r="M77" s="7" t="s">
        <v>3023</v>
      </c>
      <c r="N77" s="7" t="s">
        <v>3024</v>
      </c>
    </row>
    <row r="78" spans="1:14" x14ac:dyDescent="0.25">
      <c r="A78" s="7" t="s">
        <v>19</v>
      </c>
      <c r="B78" s="7" t="s">
        <v>457</v>
      </c>
      <c r="C78" s="7" t="s">
        <v>3025</v>
      </c>
      <c r="D78" s="7" t="s">
        <v>2862</v>
      </c>
      <c r="E78" s="9">
        <v>3</v>
      </c>
      <c r="F78" s="7">
        <v>0</v>
      </c>
      <c r="G78" s="7">
        <v>0</v>
      </c>
      <c r="H78" s="7">
        <v>0</v>
      </c>
      <c r="I78" s="10">
        <v>1</v>
      </c>
      <c r="J78" s="7">
        <v>0</v>
      </c>
      <c r="K78" s="7">
        <v>0</v>
      </c>
      <c r="L78" s="7">
        <v>0</v>
      </c>
      <c r="M78" s="7"/>
      <c r="N78" s="7" t="s">
        <v>3026</v>
      </c>
    </row>
    <row r="79" spans="1:14" x14ac:dyDescent="0.25">
      <c r="A79" s="7" t="s">
        <v>19</v>
      </c>
      <c r="B79" s="7" t="s">
        <v>468</v>
      </c>
      <c r="C79" s="7" t="s">
        <v>3027</v>
      </c>
      <c r="D79" s="7" t="s">
        <v>2862</v>
      </c>
      <c r="E79" s="9">
        <v>3</v>
      </c>
      <c r="F79" s="7">
        <v>0</v>
      </c>
      <c r="G79" s="7">
        <v>0</v>
      </c>
      <c r="H79" s="7">
        <v>0</v>
      </c>
      <c r="I79" s="7">
        <v>0</v>
      </c>
      <c r="J79" s="7">
        <v>0</v>
      </c>
      <c r="K79" s="7">
        <v>0</v>
      </c>
      <c r="L79" s="7">
        <v>0</v>
      </c>
      <c r="M79" s="7"/>
      <c r="N79" s="7" t="s">
        <v>3028</v>
      </c>
    </row>
    <row r="80" spans="1:14" ht="25.5" x14ac:dyDescent="0.25">
      <c r="A80" s="7" t="s">
        <v>19</v>
      </c>
      <c r="B80" s="7" t="s">
        <v>476</v>
      </c>
      <c r="C80" s="7" t="s">
        <v>3029</v>
      </c>
      <c r="D80" s="7" t="s">
        <v>2862</v>
      </c>
      <c r="E80" s="9">
        <v>3</v>
      </c>
      <c r="F80" s="7">
        <v>0</v>
      </c>
      <c r="G80" s="7">
        <v>0</v>
      </c>
      <c r="H80" s="7">
        <v>0</v>
      </c>
      <c r="I80" s="10">
        <v>2</v>
      </c>
      <c r="J80" s="7">
        <v>0</v>
      </c>
      <c r="K80" s="7">
        <v>0</v>
      </c>
      <c r="L80" s="7">
        <v>0</v>
      </c>
      <c r="M80" s="7" t="s">
        <v>3030</v>
      </c>
      <c r="N80" s="7" t="s">
        <v>3031</v>
      </c>
    </row>
    <row r="81" spans="1:14" ht="25.5" x14ac:dyDescent="0.25">
      <c r="A81" s="7" t="s">
        <v>19</v>
      </c>
      <c r="B81" s="7" t="s">
        <v>490</v>
      </c>
      <c r="C81" s="7" t="s">
        <v>3032</v>
      </c>
      <c r="D81" s="7" t="s">
        <v>2862</v>
      </c>
      <c r="E81" s="7">
        <v>0</v>
      </c>
      <c r="F81" s="7">
        <v>0</v>
      </c>
      <c r="G81" s="7">
        <v>0</v>
      </c>
      <c r="H81" s="7">
        <v>0</v>
      </c>
      <c r="I81" s="10">
        <v>3</v>
      </c>
      <c r="J81" s="11">
        <v>1</v>
      </c>
      <c r="K81" s="7">
        <v>0</v>
      </c>
      <c r="L81" s="7">
        <v>0</v>
      </c>
      <c r="M81" s="7"/>
      <c r="N81" s="7" t="s">
        <v>3033</v>
      </c>
    </row>
    <row r="82" spans="1:14" ht="25.5" x14ac:dyDescent="0.25">
      <c r="A82" s="7" t="s">
        <v>19</v>
      </c>
      <c r="B82" s="7" t="s">
        <v>502</v>
      </c>
      <c r="C82" s="7" t="s">
        <v>3034</v>
      </c>
      <c r="D82" s="7" t="s">
        <v>2862</v>
      </c>
      <c r="E82" s="9">
        <v>2</v>
      </c>
      <c r="F82" s="7">
        <v>0</v>
      </c>
      <c r="G82" s="7">
        <v>0</v>
      </c>
      <c r="H82" s="13">
        <v>1</v>
      </c>
      <c r="I82" s="10">
        <v>1</v>
      </c>
      <c r="J82" s="7">
        <v>0</v>
      </c>
      <c r="K82" s="7">
        <v>0</v>
      </c>
      <c r="L82" s="7">
        <v>0</v>
      </c>
      <c r="M82" s="7" t="s">
        <v>3035</v>
      </c>
      <c r="N82" s="7" t="s">
        <v>3036</v>
      </c>
    </row>
    <row r="83" spans="1:14" x14ac:dyDescent="0.25">
      <c r="A83" s="7" t="s">
        <v>19</v>
      </c>
      <c r="B83" s="7" t="s">
        <v>517</v>
      </c>
      <c r="C83" s="7" t="s">
        <v>3037</v>
      </c>
      <c r="D83" s="7" t="s">
        <v>2862</v>
      </c>
      <c r="E83" s="9">
        <v>2</v>
      </c>
      <c r="F83" s="7">
        <v>0</v>
      </c>
      <c r="G83" s="7">
        <v>0</v>
      </c>
      <c r="H83" s="13">
        <v>2</v>
      </c>
      <c r="I83" s="7">
        <v>0</v>
      </c>
      <c r="J83" s="7">
        <v>0</v>
      </c>
      <c r="K83" s="7">
        <v>0</v>
      </c>
      <c r="L83" s="7">
        <v>0</v>
      </c>
      <c r="M83" s="7"/>
      <c r="N83" s="7" t="s">
        <v>3038</v>
      </c>
    </row>
    <row r="84" spans="1:14" ht="25.5" x14ac:dyDescent="0.25">
      <c r="A84" s="7" t="s">
        <v>19</v>
      </c>
      <c r="B84" s="7" t="s">
        <v>529</v>
      </c>
      <c r="C84" s="7" t="s">
        <v>3039</v>
      </c>
      <c r="D84" s="7" t="s">
        <v>2862</v>
      </c>
      <c r="E84" s="7">
        <v>0</v>
      </c>
      <c r="F84" s="7">
        <v>0</v>
      </c>
      <c r="G84" s="7">
        <v>0</v>
      </c>
      <c r="H84" s="13">
        <v>3</v>
      </c>
      <c r="I84" s="7">
        <v>0</v>
      </c>
      <c r="J84" s="7">
        <v>0</v>
      </c>
      <c r="K84" s="7">
        <v>0</v>
      </c>
      <c r="L84" s="7">
        <v>0</v>
      </c>
      <c r="M84" s="7" t="s">
        <v>3040</v>
      </c>
      <c r="N84" s="7" t="s">
        <v>3041</v>
      </c>
    </row>
    <row r="85" spans="1:14" ht="25.5" x14ac:dyDescent="0.25">
      <c r="A85" s="7" t="s">
        <v>19</v>
      </c>
      <c r="B85" s="7" t="s">
        <v>540</v>
      </c>
      <c r="C85" s="7" t="s">
        <v>3042</v>
      </c>
      <c r="D85" s="7" t="s">
        <v>2862</v>
      </c>
      <c r="E85" s="9">
        <v>2</v>
      </c>
      <c r="F85" s="7">
        <v>0</v>
      </c>
      <c r="G85" s="7">
        <v>0</v>
      </c>
      <c r="H85" s="13">
        <v>1</v>
      </c>
      <c r="I85" s="7">
        <v>0</v>
      </c>
      <c r="J85" s="7">
        <v>0</v>
      </c>
      <c r="K85" s="7">
        <v>0</v>
      </c>
      <c r="L85" s="7">
        <v>0</v>
      </c>
      <c r="M85" s="7"/>
      <c r="N85" s="7" t="s">
        <v>3043</v>
      </c>
    </row>
    <row r="86" spans="1:14" ht="25.5" x14ac:dyDescent="0.25">
      <c r="A86" s="7" t="s">
        <v>19</v>
      </c>
      <c r="B86" s="7" t="s">
        <v>548</v>
      </c>
      <c r="C86" s="7" t="s">
        <v>3044</v>
      </c>
      <c r="D86" s="7" t="s">
        <v>2862</v>
      </c>
      <c r="E86" s="9">
        <v>4</v>
      </c>
      <c r="F86" s="7">
        <v>0</v>
      </c>
      <c r="G86" s="7">
        <v>0</v>
      </c>
      <c r="H86" s="7">
        <v>0</v>
      </c>
      <c r="I86" s="7">
        <v>0</v>
      </c>
      <c r="J86" s="7">
        <v>0</v>
      </c>
      <c r="K86" s="7">
        <v>0</v>
      </c>
      <c r="L86" s="7">
        <v>0</v>
      </c>
      <c r="M86" s="7"/>
      <c r="N86" s="7" t="s">
        <v>3045</v>
      </c>
    </row>
    <row r="87" spans="1:14" ht="51" x14ac:dyDescent="0.25">
      <c r="A87" s="7" t="s">
        <v>19</v>
      </c>
      <c r="B87" s="7" t="s">
        <v>558</v>
      </c>
      <c r="C87" s="7" t="s">
        <v>3046</v>
      </c>
      <c r="D87" s="7" t="s">
        <v>2862</v>
      </c>
      <c r="E87" s="9">
        <v>1</v>
      </c>
      <c r="F87" s="7">
        <v>0</v>
      </c>
      <c r="G87" s="7">
        <v>0</v>
      </c>
      <c r="H87" s="7">
        <v>0</v>
      </c>
      <c r="I87" s="10">
        <v>1</v>
      </c>
      <c r="J87" s="7">
        <v>0</v>
      </c>
      <c r="K87" s="7">
        <v>0</v>
      </c>
      <c r="L87" s="7">
        <v>0</v>
      </c>
      <c r="M87" s="7" t="s">
        <v>3047</v>
      </c>
      <c r="N87" s="7" t="s">
        <v>3048</v>
      </c>
    </row>
    <row r="88" spans="1:14" x14ac:dyDescent="0.25">
      <c r="A88" s="7" t="s">
        <v>19</v>
      </c>
      <c r="B88" s="7" t="s">
        <v>569</v>
      </c>
      <c r="C88" s="7" t="s">
        <v>3049</v>
      </c>
      <c r="D88" s="7" t="s">
        <v>2862</v>
      </c>
      <c r="E88" s="9">
        <v>2</v>
      </c>
      <c r="F88" s="7">
        <v>0</v>
      </c>
      <c r="G88" s="7">
        <v>0</v>
      </c>
      <c r="H88" s="7">
        <v>0</v>
      </c>
      <c r="I88" s="7">
        <v>0</v>
      </c>
      <c r="J88" s="7">
        <v>0</v>
      </c>
      <c r="K88" s="7">
        <v>0</v>
      </c>
      <c r="L88" s="7">
        <v>0</v>
      </c>
      <c r="M88" s="7"/>
      <c r="N88" s="7" t="s">
        <v>3050</v>
      </c>
    </row>
    <row r="89" spans="1:14" ht="25.5" x14ac:dyDescent="0.25">
      <c r="A89" s="7" t="s">
        <v>19</v>
      </c>
      <c r="B89" s="7" t="s">
        <v>575</v>
      </c>
      <c r="C89" s="7" t="s">
        <v>3051</v>
      </c>
      <c r="D89" s="7" t="s">
        <v>372</v>
      </c>
      <c r="E89" s="7">
        <v>0</v>
      </c>
      <c r="F89" s="12">
        <v>1</v>
      </c>
      <c r="G89" s="7">
        <v>0</v>
      </c>
      <c r="H89" s="7">
        <v>0</v>
      </c>
      <c r="I89" s="7">
        <v>0</v>
      </c>
      <c r="J89" s="11">
        <v>3</v>
      </c>
      <c r="K89" s="7">
        <v>0</v>
      </c>
      <c r="L89" s="7">
        <v>0</v>
      </c>
      <c r="M89" s="7"/>
      <c r="N89" s="7" t="s">
        <v>3052</v>
      </c>
    </row>
    <row r="90" spans="1:14" ht="25.5" x14ac:dyDescent="0.25">
      <c r="A90" s="7" t="s">
        <v>19</v>
      </c>
      <c r="B90" s="7" t="s">
        <v>586</v>
      </c>
      <c r="C90" s="7" t="s">
        <v>3053</v>
      </c>
      <c r="D90" s="7" t="s">
        <v>2862</v>
      </c>
      <c r="E90" s="9">
        <v>4</v>
      </c>
      <c r="F90" s="7">
        <v>0</v>
      </c>
      <c r="G90" s="7">
        <v>0</v>
      </c>
      <c r="H90" s="7">
        <v>0</v>
      </c>
      <c r="I90" s="10">
        <v>1</v>
      </c>
      <c r="J90" s="7">
        <v>0</v>
      </c>
      <c r="K90" s="7">
        <v>0</v>
      </c>
      <c r="L90" s="7">
        <v>0</v>
      </c>
      <c r="M90" s="7"/>
      <c r="N90" s="7" t="s">
        <v>3054</v>
      </c>
    </row>
    <row r="91" spans="1:14" x14ac:dyDescent="0.25">
      <c r="A91" s="7" t="s">
        <v>601</v>
      </c>
      <c r="B91" s="7" t="s">
        <v>602</v>
      </c>
      <c r="C91" s="7" t="s">
        <v>3055</v>
      </c>
      <c r="D91" s="7" t="s">
        <v>2862</v>
      </c>
      <c r="E91" s="9">
        <v>1</v>
      </c>
      <c r="F91" s="7">
        <v>0</v>
      </c>
      <c r="G91" s="7">
        <v>0</v>
      </c>
      <c r="H91" s="7">
        <v>0</v>
      </c>
      <c r="I91" s="7">
        <v>0</v>
      </c>
      <c r="J91" s="7">
        <v>0</v>
      </c>
      <c r="K91" s="7">
        <v>0</v>
      </c>
      <c r="L91" s="7">
        <v>0</v>
      </c>
      <c r="M91" s="7"/>
      <c r="N91" s="7" t="s">
        <v>3056</v>
      </c>
    </row>
    <row r="92" spans="1:14" x14ac:dyDescent="0.25">
      <c r="A92" s="7" t="s">
        <v>601</v>
      </c>
      <c r="B92" s="7" t="s">
        <v>608</v>
      </c>
      <c r="C92" s="7" t="s">
        <v>3057</v>
      </c>
      <c r="D92" s="7" t="s">
        <v>2952</v>
      </c>
      <c r="E92" s="9">
        <v>3</v>
      </c>
      <c r="F92" s="7">
        <v>0</v>
      </c>
      <c r="G92" s="8">
        <v>1</v>
      </c>
      <c r="H92" s="7">
        <v>0</v>
      </c>
      <c r="I92" s="7">
        <v>0</v>
      </c>
      <c r="J92" s="7">
        <v>0</v>
      </c>
      <c r="K92" s="7">
        <v>0</v>
      </c>
      <c r="L92" s="7">
        <v>0</v>
      </c>
      <c r="M92" s="7"/>
      <c r="N92" s="7" t="s">
        <v>3058</v>
      </c>
    </row>
    <row r="93" spans="1:14" ht="25.5" x14ac:dyDescent="0.25">
      <c r="A93" s="7" t="s">
        <v>601</v>
      </c>
      <c r="B93" s="7" t="s">
        <v>625</v>
      </c>
      <c r="C93" s="7" t="s">
        <v>3057</v>
      </c>
      <c r="D93" s="7" t="s">
        <v>2862</v>
      </c>
      <c r="E93" s="9">
        <v>2</v>
      </c>
      <c r="F93" s="12">
        <v>3</v>
      </c>
      <c r="G93" s="7">
        <v>0</v>
      </c>
      <c r="H93" s="7">
        <v>0</v>
      </c>
      <c r="I93" s="10">
        <v>1</v>
      </c>
      <c r="J93" s="11">
        <v>1</v>
      </c>
      <c r="K93" s="7">
        <v>0</v>
      </c>
      <c r="L93" s="7">
        <v>0</v>
      </c>
      <c r="M93" s="7" t="s">
        <v>3059</v>
      </c>
      <c r="N93" s="7" t="s">
        <v>3060</v>
      </c>
    </row>
    <row r="94" spans="1:14" x14ac:dyDescent="0.25">
      <c r="A94" s="7" t="s">
        <v>601</v>
      </c>
      <c r="B94" s="7" t="s">
        <v>652</v>
      </c>
      <c r="C94" s="7" t="s">
        <v>3061</v>
      </c>
      <c r="D94" s="7" t="s">
        <v>2862</v>
      </c>
      <c r="E94" s="7">
        <v>0</v>
      </c>
      <c r="F94" s="7">
        <v>0</v>
      </c>
      <c r="G94" s="7">
        <v>0</v>
      </c>
      <c r="H94" s="7">
        <v>0</v>
      </c>
      <c r="I94" s="7">
        <v>0</v>
      </c>
      <c r="J94" s="11">
        <v>3</v>
      </c>
      <c r="K94" s="7">
        <v>0</v>
      </c>
      <c r="L94" s="7">
        <v>0</v>
      </c>
      <c r="M94" s="7" t="s">
        <v>3062</v>
      </c>
      <c r="N94" s="7" t="s">
        <v>3063</v>
      </c>
    </row>
    <row r="95" spans="1:14" x14ac:dyDescent="0.25">
      <c r="A95" s="7" t="s">
        <v>601</v>
      </c>
      <c r="B95" s="7" t="s">
        <v>662</v>
      </c>
      <c r="C95" s="7" t="s">
        <v>3061</v>
      </c>
      <c r="D95" s="7" t="s">
        <v>2862</v>
      </c>
      <c r="E95" s="9">
        <v>1</v>
      </c>
      <c r="F95" s="7">
        <v>0</v>
      </c>
      <c r="G95" s="7">
        <v>0</v>
      </c>
      <c r="H95" s="7">
        <v>0</v>
      </c>
      <c r="I95" s="7">
        <v>0</v>
      </c>
      <c r="J95" s="11">
        <v>3</v>
      </c>
      <c r="K95" s="7">
        <v>0</v>
      </c>
      <c r="L95" s="7">
        <v>0</v>
      </c>
      <c r="M95" s="7"/>
      <c r="N95" s="7" t="s">
        <v>3064</v>
      </c>
    </row>
    <row r="96" spans="1:14" x14ac:dyDescent="0.25">
      <c r="A96" s="7" t="s">
        <v>601</v>
      </c>
      <c r="B96" s="7" t="s">
        <v>673</v>
      </c>
      <c r="C96" s="7" t="s">
        <v>3065</v>
      </c>
      <c r="D96" s="7" t="s">
        <v>3066</v>
      </c>
      <c r="E96" s="7">
        <v>0</v>
      </c>
      <c r="F96" s="12">
        <v>1</v>
      </c>
      <c r="G96" s="7">
        <v>0</v>
      </c>
      <c r="H96" s="7">
        <v>0</v>
      </c>
      <c r="I96" s="7">
        <v>0</v>
      </c>
      <c r="J96" s="7">
        <v>0</v>
      </c>
      <c r="K96" s="7">
        <v>0</v>
      </c>
      <c r="L96" s="7">
        <v>0</v>
      </c>
      <c r="M96" s="7"/>
      <c r="N96" s="7" t="s">
        <v>3067</v>
      </c>
    </row>
    <row r="97" spans="1:14" x14ac:dyDescent="0.25">
      <c r="A97" s="7" t="s">
        <v>601</v>
      </c>
      <c r="B97" s="7" t="s">
        <v>679</v>
      </c>
      <c r="C97" s="7" t="s">
        <v>3068</v>
      </c>
      <c r="D97" s="7" t="s">
        <v>2862</v>
      </c>
      <c r="E97" s="9">
        <v>1</v>
      </c>
      <c r="F97" s="12">
        <v>1</v>
      </c>
      <c r="G97" s="7">
        <v>0</v>
      </c>
      <c r="H97" s="7">
        <v>0</v>
      </c>
      <c r="I97" s="7">
        <v>0</v>
      </c>
      <c r="J97" s="7">
        <v>0</v>
      </c>
      <c r="K97" s="7">
        <v>0</v>
      </c>
      <c r="L97" s="7">
        <v>0</v>
      </c>
      <c r="M97" s="7" t="s">
        <v>3069</v>
      </c>
      <c r="N97" s="7" t="s">
        <v>3070</v>
      </c>
    </row>
    <row r="98" spans="1:14" ht="25.5" x14ac:dyDescent="0.25">
      <c r="A98" s="7" t="s">
        <v>601</v>
      </c>
      <c r="B98" s="7" t="s">
        <v>689</v>
      </c>
      <c r="C98" s="7" t="s">
        <v>3071</v>
      </c>
      <c r="D98" s="7" t="s">
        <v>2862</v>
      </c>
      <c r="E98" s="9">
        <v>2</v>
      </c>
      <c r="F98" s="12">
        <v>3</v>
      </c>
      <c r="G98" s="7">
        <v>0</v>
      </c>
      <c r="H98" s="13">
        <v>1</v>
      </c>
      <c r="I98" s="7">
        <v>0</v>
      </c>
      <c r="J98" s="7">
        <v>0</v>
      </c>
      <c r="K98" s="7">
        <v>0</v>
      </c>
      <c r="L98" s="7">
        <v>0</v>
      </c>
      <c r="M98" s="7"/>
      <c r="N98" s="7" t="s">
        <v>3072</v>
      </c>
    </row>
    <row r="99" spans="1:14" ht="25.5" x14ac:dyDescent="0.25">
      <c r="A99" s="7" t="s">
        <v>601</v>
      </c>
      <c r="B99" s="7" t="s">
        <v>706</v>
      </c>
      <c r="C99" s="7" t="s">
        <v>3073</v>
      </c>
      <c r="D99" s="7" t="s">
        <v>3066</v>
      </c>
      <c r="E99" s="7">
        <v>0</v>
      </c>
      <c r="F99" s="7">
        <v>0</v>
      </c>
      <c r="G99" s="7">
        <v>0</v>
      </c>
      <c r="H99" s="7">
        <v>0</v>
      </c>
      <c r="I99" s="7">
        <v>0</v>
      </c>
      <c r="J99" s="11">
        <v>5</v>
      </c>
      <c r="K99" s="7">
        <v>0</v>
      </c>
      <c r="L99" s="7">
        <v>0</v>
      </c>
      <c r="M99" s="7"/>
      <c r="N99" s="7" t="s">
        <v>3074</v>
      </c>
    </row>
    <row r="100" spans="1:14" x14ac:dyDescent="0.25">
      <c r="A100" s="7" t="s">
        <v>601</v>
      </c>
      <c r="B100" s="7" t="s">
        <v>718</v>
      </c>
      <c r="C100" s="7" t="s">
        <v>3075</v>
      </c>
      <c r="D100" s="7" t="s">
        <v>2862</v>
      </c>
      <c r="E100" s="9">
        <v>1</v>
      </c>
      <c r="F100" s="12">
        <v>2</v>
      </c>
      <c r="G100" s="7">
        <v>0</v>
      </c>
      <c r="H100" s="7">
        <v>0</v>
      </c>
      <c r="I100" s="7">
        <v>0</v>
      </c>
      <c r="J100" s="7">
        <v>0</v>
      </c>
      <c r="K100" s="7">
        <v>0</v>
      </c>
      <c r="L100" s="7">
        <v>0</v>
      </c>
      <c r="M100" s="7"/>
      <c r="N100" s="7" t="s">
        <v>3076</v>
      </c>
    </row>
    <row r="101" spans="1:14" ht="25.5" x14ac:dyDescent="0.25">
      <c r="A101" s="7" t="s">
        <v>601</v>
      </c>
      <c r="B101" s="7" t="s">
        <v>730</v>
      </c>
      <c r="C101" s="7" t="s">
        <v>3077</v>
      </c>
      <c r="D101" s="7" t="s">
        <v>2862</v>
      </c>
      <c r="E101" s="9">
        <v>1</v>
      </c>
      <c r="F101" s="12">
        <v>1</v>
      </c>
      <c r="G101" s="7">
        <v>0</v>
      </c>
      <c r="H101" s="7">
        <v>0</v>
      </c>
      <c r="I101" s="7">
        <v>0</v>
      </c>
      <c r="J101" s="7">
        <v>0</v>
      </c>
      <c r="K101" s="7">
        <v>0</v>
      </c>
      <c r="L101" s="7">
        <v>0</v>
      </c>
      <c r="M101" s="7"/>
      <c r="N101" s="7" t="s">
        <v>3078</v>
      </c>
    </row>
    <row r="102" spans="1:14" ht="25.5" x14ac:dyDescent="0.25">
      <c r="A102" s="7" t="s">
        <v>601</v>
      </c>
      <c r="B102" s="7" t="s">
        <v>738</v>
      </c>
      <c r="C102" s="7" t="s">
        <v>3079</v>
      </c>
      <c r="D102" s="7" t="s">
        <v>2862</v>
      </c>
      <c r="E102" s="7">
        <v>0</v>
      </c>
      <c r="F102" s="12">
        <v>3</v>
      </c>
      <c r="G102" s="7">
        <v>0</v>
      </c>
      <c r="H102" s="13">
        <v>1</v>
      </c>
      <c r="I102" s="7">
        <v>0</v>
      </c>
      <c r="J102" s="11">
        <v>1</v>
      </c>
      <c r="K102" s="7">
        <v>0</v>
      </c>
      <c r="L102" s="7">
        <v>0</v>
      </c>
      <c r="M102" s="7"/>
      <c r="N102" s="7" t="s">
        <v>3080</v>
      </c>
    </row>
    <row r="103" spans="1:14" ht="25.5" x14ac:dyDescent="0.25">
      <c r="A103" s="7" t="s">
        <v>601</v>
      </c>
      <c r="B103" s="7" t="s">
        <v>754</v>
      </c>
      <c r="C103" s="7" t="s">
        <v>3057</v>
      </c>
      <c r="D103" s="7" t="s">
        <v>2862</v>
      </c>
      <c r="E103" s="9">
        <v>1</v>
      </c>
      <c r="F103" s="12">
        <v>4</v>
      </c>
      <c r="G103" s="7">
        <v>0</v>
      </c>
      <c r="H103" s="13">
        <v>1</v>
      </c>
      <c r="I103" s="7">
        <v>0</v>
      </c>
      <c r="J103" s="7">
        <v>0</v>
      </c>
      <c r="K103" s="7">
        <v>0</v>
      </c>
      <c r="L103" s="7">
        <v>0</v>
      </c>
      <c r="M103" s="7"/>
      <c r="N103" s="7" t="s">
        <v>3081</v>
      </c>
    </row>
    <row r="104" spans="1:14" ht="25.5" x14ac:dyDescent="0.25">
      <c r="A104" s="7" t="s">
        <v>601</v>
      </c>
      <c r="B104" s="7" t="s">
        <v>773</v>
      </c>
      <c r="C104" s="7" t="s">
        <v>3082</v>
      </c>
      <c r="D104" s="7" t="s">
        <v>2862</v>
      </c>
      <c r="E104" s="7">
        <v>0</v>
      </c>
      <c r="F104" s="7">
        <v>0</v>
      </c>
      <c r="G104" s="7">
        <v>0</v>
      </c>
      <c r="H104" s="7">
        <v>0</v>
      </c>
      <c r="I104" s="7">
        <v>0</v>
      </c>
      <c r="J104" s="11">
        <v>6</v>
      </c>
      <c r="K104" s="7">
        <v>0</v>
      </c>
      <c r="L104" s="7">
        <v>0</v>
      </c>
      <c r="M104" s="7"/>
      <c r="N104" s="7" t="s">
        <v>3083</v>
      </c>
    </row>
    <row r="105" spans="1:14" x14ac:dyDescent="0.25">
      <c r="A105" s="7" t="s">
        <v>601</v>
      </c>
      <c r="B105" s="7" t="s">
        <v>788</v>
      </c>
      <c r="C105" s="7" t="s">
        <v>3084</v>
      </c>
      <c r="D105" s="7" t="s">
        <v>2862</v>
      </c>
      <c r="E105" s="7">
        <v>0</v>
      </c>
      <c r="F105" s="12">
        <v>1</v>
      </c>
      <c r="G105" s="7">
        <v>0</v>
      </c>
      <c r="H105" s="13">
        <v>1</v>
      </c>
      <c r="I105" s="7">
        <v>0</v>
      </c>
      <c r="J105" s="11">
        <v>2</v>
      </c>
      <c r="K105" s="7">
        <v>0</v>
      </c>
      <c r="L105" s="7">
        <v>0</v>
      </c>
      <c r="M105" s="7"/>
      <c r="N105" s="7" t="s">
        <v>3085</v>
      </c>
    </row>
    <row r="106" spans="1:14" x14ac:dyDescent="0.25">
      <c r="A106" s="7" t="s">
        <v>601</v>
      </c>
      <c r="B106" s="7" t="s">
        <v>800</v>
      </c>
      <c r="C106" s="7" t="s">
        <v>3086</v>
      </c>
      <c r="D106" s="7" t="s">
        <v>2862</v>
      </c>
      <c r="E106" s="7">
        <v>0</v>
      </c>
      <c r="F106" s="12">
        <v>1</v>
      </c>
      <c r="G106" s="7">
        <v>0</v>
      </c>
      <c r="H106" s="7">
        <v>0</v>
      </c>
      <c r="I106" s="7">
        <v>0</v>
      </c>
      <c r="J106" s="7">
        <v>0</v>
      </c>
      <c r="K106" s="7">
        <v>0</v>
      </c>
      <c r="L106" s="7">
        <v>0</v>
      </c>
      <c r="M106" s="7"/>
      <c r="N106" s="7" t="s">
        <v>3087</v>
      </c>
    </row>
    <row r="107" spans="1:14" ht="25.5" x14ac:dyDescent="0.25">
      <c r="A107" s="7" t="s">
        <v>601</v>
      </c>
      <c r="B107" s="7" t="s">
        <v>805</v>
      </c>
      <c r="C107" s="7" t="s">
        <v>3079</v>
      </c>
      <c r="D107" s="7" t="s">
        <v>2862</v>
      </c>
      <c r="E107" s="9">
        <v>2</v>
      </c>
      <c r="F107" s="12">
        <v>2</v>
      </c>
      <c r="G107" s="7">
        <v>0</v>
      </c>
      <c r="H107" s="13">
        <v>1</v>
      </c>
      <c r="I107" s="7">
        <v>0</v>
      </c>
      <c r="J107" s="7">
        <v>0</v>
      </c>
      <c r="K107" s="7">
        <v>0</v>
      </c>
      <c r="L107" s="7">
        <v>0</v>
      </c>
      <c r="M107" s="7"/>
      <c r="N107" s="7" t="s">
        <v>3088</v>
      </c>
    </row>
    <row r="108" spans="1:14" x14ac:dyDescent="0.25">
      <c r="A108" s="7" t="s">
        <v>601</v>
      </c>
      <c r="B108" s="7" t="s">
        <v>820</v>
      </c>
      <c r="C108" s="7" t="s">
        <v>3089</v>
      </c>
      <c r="D108" s="7" t="s">
        <v>2862</v>
      </c>
      <c r="E108" s="9">
        <v>1</v>
      </c>
      <c r="F108" s="12">
        <v>2</v>
      </c>
      <c r="G108" s="7">
        <v>0</v>
      </c>
      <c r="H108" s="7">
        <v>0</v>
      </c>
      <c r="I108" s="7">
        <v>0</v>
      </c>
      <c r="J108" s="7">
        <v>0</v>
      </c>
      <c r="K108" s="7">
        <v>0</v>
      </c>
      <c r="L108" s="7">
        <v>0</v>
      </c>
      <c r="M108" s="7"/>
      <c r="N108" s="7" t="s">
        <v>3090</v>
      </c>
    </row>
    <row r="109" spans="1:14" ht="25.5" x14ac:dyDescent="0.25">
      <c r="A109" s="7" t="s">
        <v>601</v>
      </c>
      <c r="B109" s="7" t="s">
        <v>829</v>
      </c>
      <c r="C109" s="7" t="s">
        <v>3091</v>
      </c>
      <c r="D109" s="7" t="s">
        <v>2862</v>
      </c>
      <c r="E109" s="7">
        <v>0</v>
      </c>
      <c r="F109" s="12">
        <v>1</v>
      </c>
      <c r="G109" s="7">
        <v>0</v>
      </c>
      <c r="H109" s="7">
        <v>0</v>
      </c>
      <c r="I109" s="7">
        <v>0</v>
      </c>
      <c r="J109" s="11">
        <v>2</v>
      </c>
      <c r="K109" s="7">
        <v>0</v>
      </c>
      <c r="L109" s="7">
        <v>0</v>
      </c>
      <c r="M109" s="7"/>
      <c r="N109" s="7" t="s">
        <v>3092</v>
      </c>
    </row>
    <row r="110" spans="1:14" ht="25.5" x14ac:dyDescent="0.25">
      <c r="A110" s="7" t="s">
        <v>601</v>
      </c>
      <c r="B110" s="7" t="s">
        <v>838</v>
      </c>
      <c r="C110" s="7" t="s">
        <v>3093</v>
      </c>
      <c r="D110" s="7" t="s">
        <v>2862</v>
      </c>
      <c r="E110" s="7">
        <v>0</v>
      </c>
      <c r="F110" s="12">
        <v>5</v>
      </c>
      <c r="G110" s="7">
        <v>0</v>
      </c>
      <c r="H110" s="7">
        <v>0</v>
      </c>
      <c r="I110" s="7">
        <v>0</v>
      </c>
      <c r="J110" s="7">
        <v>0</v>
      </c>
      <c r="K110" s="7">
        <v>0</v>
      </c>
      <c r="L110" s="7">
        <v>0</v>
      </c>
      <c r="M110" s="7"/>
      <c r="N110" s="7" t="s">
        <v>3094</v>
      </c>
    </row>
    <row r="111" spans="1:14" x14ac:dyDescent="0.25">
      <c r="A111" s="7" t="s">
        <v>601</v>
      </c>
      <c r="B111" s="7" t="s">
        <v>855</v>
      </c>
      <c r="C111" s="7" t="s">
        <v>3095</v>
      </c>
      <c r="D111" s="7" t="s">
        <v>2862</v>
      </c>
      <c r="E111" s="7">
        <v>0</v>
      </c>
      <c r="F111" s="12">
        <v>2</v>
      </c>
      <c r="G111" s="7">
        <v>0</v>
      </c>
      <c r="H111" s="7">
        <v>0</v>
      </c>
      <c r="I111" s="7">
        <v>0</v>
      </c>
      <c r="J111" s="7">
        <v>0</v>
      </c>
      <c r="K111" s="7">
        <v>0</v>
      </c>
      <c r="L111" s="7">
        <v>0</v>
      </c>
      <c r="M111" s="7"/>
      <c r="N111" s="7" t="s">
        <v>3096</v>
      </c>
    </row>
    <row r="112" spans="1:14" ht="25.5" x14ac:dyDescent="0.25">
      <c r="A112" s="7" t="s">
        <v>601</v>
      </c>
      <c r="B112" s="7" t="s">
        <v>863</v>
      </c>
      <c r="C112" s="7" t="s">
        <v>3097</v>
      </c>
      <c r="D112" s="7" t="s">
        <v>2862</v>
      </c>
      <c r="E112" s="7">
        <v>0</v>
      </c>
      <c r="F112" s="7">
        <v>0</v>
      </c>
      <c r="G112" s="7">
        <v>0</v>
      </c>
      <c r="H112" s="7">
        <v>0</v>
      </c>
      <c r="I112" s="7">
        <v>0</v>
      </c>
      <c r="J112" s="11">
        <v>4</v>
      </c>
      <c r="K112" s="7">
        <v>0</v>
      </c>
      <c r="L112" s="7">
        <v>0</v>
      </c>
      <c r="M112" s="7"/>
      <c r="N112" s="7" t="s">
        <v>3098</v>
      </c>
    </row>
    <row r="113" spans="1:14" x14ac:dyDescent="0.25">
      <c r="A113" s="7" t="s">
        <v>601</v>
      </c>
      <c r="B113" s="7" t="s">
        <v>874</v>
      </c>
      <c r="C113" s="7" t="s">
        <v>3068</v>
      </c>
      <c r="D113" s="7" t="s">
        <v>2862</v>
      </c>
      <c r="E113" s="9">
        <v>1</v>
      </c>
      <c r="F113" s="7">
        <v>0</v>
      </c>
      <c r="G113" s="7">
        <v>0</v>
      </c>
      <c r="H113" s="13">
        <v>1</v>
      </c>
      <c r="I113" s="7">
        <v>0</v>
      </c>
      <c r="J113" s="7">
        <v>0</v>
      </c>
      <c r="K113" s="7">
        <v>0</v>
      </c>
      <c r="L113" s="7">
        <v>0</v>
      </c>
      <c r="M113" s="7"/>
      <c r="N113" s="7" t="s">
        <v>3099</v>
      </c>
    </row>
    <row r="114" spans="1:14" ht="25.5" x14ac:dyDescent="0.25">
      <c r="A114" s="7" t="s">
        <v>601</v>
      </c>
      <c r="B114" s="7" t="s">
        <v>883</v>
      </c>
      <c r="C114" s="7" t="s">
        <v>3071</v>
      </c>
      <c r="D114" s="7" t="s">
        <v>2862</v>
      </c>
      <c r="E114" s="7">
        <v>0</v>
      </c>
      <c r="F114" s="12">
        <v>5</v>
      </c>
      <c r="G114" s="7">
        <v>0</v>
      </c>
      <c r="H114" s="7">
        <v>0</v>
      </c>
      <c r="I114" s="7">
        <v>0</v>
      </c>
      <c r="J114" s="7">
        <v>0</v>
      </c>
      <c r="K114" s="7">
        <v>0</v>
      </c>
      <c r="L114" s="7">
        <v>0</v>
      </c>
      <c r="M114" s="7"/>
      <c r="N114" s="7" t="s">
        <v>3100</v>
      </c>
    </row>
    <row r="115" spans="1:14" ht="25.5" x14ac:dyDescent="0.25">
      <c r="A115" s="7" t="s">
        <v>601</v>
      </c>
      <c r="B115" s="7" t="s">
        <v>896</v>
      </c>
      <c r="C115" s="7" t="s">
        <v>3073</v>
      </c>
      <c r="D115" s="7" t="s">
        <v>2862</v>
      </c>
      <c r="E115" s="9">
        <v>7</v>
      </c>
      <c r="F115" s="7">
        <v>0</v>
      </c>
      <c r="G115" s="7">
        <v>0</v>
      </c>
      <c r="H115" s="7">
        <v>0</v>
      </c>
      <c r="I115" s="7">
        <v>0</v>
      </c>
      <c r="J115" s="7">
        <v>0</v>
      </c>
      <c r="K115" s="7">
        <v>0</v>
      </c>
      <c r="L115" s="7">
        <v>0</v>
      </c>
      <c r="M115" s="7"/>
      <c r="N115" s="7" t="s">
        <v>3101</v>
      </c>
    </row>
    <row r="116" spans="1:14" x14ac:dyDescent="0.25">
      <c r="A116" s="7" t="s">
        <v>601</v>
      </c>
      <c r="B116" s="7" t="s">
        <v>913</v>
      </c>
      <c r="C116" s="7" t="s">
        <v>3102</v>
      </c>
      <c r="D116" s="7" t="s">
        <v>2862</v>
      </c>
      <c r="E116" s="7">
        <v>0</v>
      </c>
      <c r="F116" s="12">
        <v>2</v>
      </c>
      <c r="G116" s="7">
        <v>0</v>
      </c>
      <c r="H116" s="7">
        <v>0</v>
      </c>
      <c r="I116" s="7">
        <v>0</v>
      </c>
      <c r="J116" s="7">
        <v>0</v>
      </c>
      <c r="K116" s="7">
        <v>0</v>
      </c>
      <c r="L116" s="7">
        <v>0</v>
      </c>
      <c r="M116" s="7"/>
      <c r="N116" s="7" t="s">
        <v>3103</v>
      </c>
    </row>
    <row r="117" spans="1:14" x14ac:dyDescent="0.25">
      <c r="A117" s="7" t="s">
        <v>601</v>
      </c>
      <c r="B117" s="7" t="s">
        <v>920</v>
      </c>
      <c r="C117" s="7" t="s">
        <v>3079</v>
      </c>
      <c r="D117" s="7" t="s">
        <v>2862</v>
      </c>
      <c r="E117" s="7">
        <v>0</v>
      </c>
      <c r="F117" s="12">
        <v>4</v>
      </c>
      <c r="G117" s="7">
        <v>0</v>
      </c>
      <c r="H117" s="7">
        <v>0</v>
      </c>
      <c r="I117" s="7">
        <v>0</v>
      </c>
      <c r="J117" s="7">
        <v>0</v>
      </c>
      <c r="K117" s="7">
        <v>0</v>
      </c>
      <c r="L117" s="7">
        <v>0</v>
      </c>
      <c r="M117" s="7"/>
      <c r="N117" s="7" t="s">
        <v>3104</v>
      </c>
    </row>
    <row r="118" spans="1:14" x14ac:dyDescent="0.25">
      <c r="A118" s="7" t="s">
        <v>601</v>
      </c>
      <c r="B118" s="7" t="s">
        <v>930</v>
      </c>
      <c r="C118" s="7" t="s">
        <v>3105</v>
      </c>
      <c r="D118" s="7" t="s">
        <v>2862</v>
      </c>
      <c r="E118" s="7">
        <v>0</v>
      </c>
      <c r="F118" s="12">
        <v>1</v>
      </c>
      <c r="G118" s="7">
        <v>0</v>
      </c>
      <c r="H118" s="7">
        <v>0</v>
      </c>
      <c r="I118" s="7">
        <v>0</v>
      </c>
      <c r="J118" s="7">
        <v>0</v>
      </c>
      <c r="K118" s="7">
        <v>0</v>
      </c>
      <c r="L118" s="7">
        <v>0</v>
      </c>
      <c r="M118" s="7"/>
      <c r="N118" s="7" t="s">
        <v>3106</v>
      </c>
    </row>
    <row r="119" spans="1:14" x14ac:dyDescent="0.25">
      <c r="A119" s="7" t="s">
        <v>601</v>
      </c>
      <c r="B119" s="7" t="s">
        <v>935</v>
      </c>
      <c r="C119" s="7" t="s">
        <v>3086</v>
      </c>
      <c r="D119" s="7" t="s">
        <v>2862</v>
      </c>
      <c r="E119" s="7">
        <v>0</v>
      </c>
      <c r="F119" s="12">
        <v>1</v>
      </c>
      <c r="G119" s="7">
        <v>0</v>
      </c>
      <c r="H119" s="13">
        <v>1</v>
      </c>
      <c r="I119" s="7">
        <v>0</v>
      </c>
      <c r="J119" s="7">
        <v>0</v>
      </c>
      <c r="K119" s="7">
        <v>0</v>
      </c>
      <c r="L119" s="7">
        <v>0</v>
      </c>
      <c r="M119" s="7"/>
      <c r="N119" s="7" t="s">
        <v>3107</v>
      </c>
    </row>
    <row r="120" spans="1:14" x14ac:dyDescent="0.25">
      <c r="A120" s="7" t="s">
        <v>601</v>
      </c>
      <c r="B120" s="7" t="s">
        <v>944</v>
      </c>
      <c r="C120" s="7" t="s">
        <v>3068</v>
      </c>
      <c r="D120" s="7" t="s">
        <v>2862</v>
      </c>
      <c r="E120" s="9">
        <v>1</v>
      </c>
      <c r="F120" s="12">
        <v>3</v>
      </c>
      <c r="G120" s="7">
        <v>0</v>
      </c>
      <c r="H120" s="7">
        <v>0</v>
      </c>
      <c r="I120" s="7">
        <v>0</v>
      </c>
      <c r="J120" s="7">
        <v>0</v>
      </c>
      <c r="K120" s="7">
        <v>0</v>
      </c>
      <c r="L120" s="7">
        <v>0</v>
      </c>
      <c r="M120" s="7"/>
      <c r="N120" s="7" t="s">
        <v>3108</v>
      </c>
    </row>
    <row r="121" spans="1:14" ht="25.5" x14ac:dyDescent="0.25">
      <c r="A121" s="7" t="s">
        <v>601</v>
      </c>
      <c r="B121" s="7" t="s">
        <v>954</v>
      </c>
      <c r="C121" s="7" t="s">
        <v>3109</v>
      </c>
      <c r="D121" s="7" t="s">
        <v>2862</v>
      </c>
      <c r="E121" s="7">
        <v>0</v>
      </c>
      <c r="F121" s="12">
        <v>2</v>
      </c>
      <c r="G121" s="7">
        <v>0</v>
      </c>
      <c r="H121" s="7">
        <v>0</v>
      </c>
      <c r="I121" s="7">
        <v>0</v>
      </c>
      <c r="J121" s="7">
        <v>0</v>
      </c>
      <c r="K121" s="7">
        <v>0</v>
      </c>
      <c r="L121" s="7">
        <v>0</v>
      </c>
      <c r="M121" s="7"/>
      <c r="N121" s="7" t="s">
        <v>3110</v>
      </c>
    </row>
    <row r="122" spans="1:14" ht="25.5" x14ac:dyDescent="0.25">
      <c r="A122" s="7" t="s">
        <v>601</v>
      </c>
      <c r="B122" s="7" t="s">
        <v>963</v>
      </c>
      <c r="C122" s="7" t="s">
        <v>3111</v>
      </c>
      <c r="D122" s="7" t="s">
        <v>2862</v>
      </c>
      <c r="E122" s="7">
        <v>0</v>
      </c>
      <c r="F122" s="7">
        <v>0</v>
      </c>
      <c r="G122" s="7">
        <v>0</v>
      </c>
      <c r="H122" s="7">
        <v>0</v>
      </c>
      <c r="I122" s="7">
        <v>0</v>
      </c>
      <c r="J122" s="11">
        <v>1</v>
      </c>
      <c r="K122" s="7">
        <v>0</v>
      </c>
      <c r="L122" s="7">
        <v>0</v>
      </c>
      <c r="M122" s="7"/>
      <c r="N122" s="7" t="s">
        <v>3112</v>
      </c>
    </row>
    <row r="123" spans="1:14" x14ac:dyDescent="0.25">
      <c r="A123" s="7" t="s">
        <v>601</v>
      </c>
      <c r="B123" s="7" t="s">
        <v>967</v>
      </c>
      <c r="C123" s="7" t="s">
        <v>3113</v>
      </c>
      <c r="D123" s="7" t="s">
        <v>970</v>
      </c>
      <c r="E123" s="7">
        <v>0</v>
      </c>
      <c r="F123" s="7">
        <v>0</v>
      </c>
      <c r="G123" s="7">
        <v>0</v>
      </c>
      <c r="H123" s="7">
        <v>0</v>
      </c>
      <c r="I123" s="10">
        <v>1</v>
      </c>
      <c r="J123" s="7">
        <v>0</v>
      </c>
      <c r="K123" s="7">
        <v>0</v>
      </c>
      <c r="L123" s="7">
        <v>0</v>
      </c>
      <c r="M123" s="7"/>
      <c r="N123" s="7" t="s">
        <v>3114</v>
      </c>
    </row>
    <row r="124" spans="1:14" x14ac:dyDescent="0.25">
      <c r="A124" s="7" t="s">
        <v>601</v>
      </c>
      <c r="B124" s="7" t="s">
        <v>971</v>
      </c>
      <c r="C124" s="7" t="s">
        <v>3068</v>
      </c>
      <c r="D124" s="7" t="s">
        <v>2862</v>
      </c>
      <c r="E124" s="7">
        <v>0</v>
      </c>
      <c r="F124" s="12">
        <v>1</v>
      </c>
      <c r="G124" s="7">
        <v>0</v>
      </c>
      <c r="H124" s="7">
        <v>0</v>
      </c>
      <c r="I124" s="7">
        <v>0</v>
      </c>
      <c r="J124" s="7">
        <v>0</v>
      </c>
      <c r="K124" s="7">
        <v>0</v>
      </c>
      <c r="L124" s="7">
        <v>0</v>
      </c>
      <c r="M124" s="7"/>
      <c r="N124" s="7" t="s">
        <v>3115</v>
      </c>
    </row>
    <row r="125" spans="1:14" x14ac:dyDescent="0.25">
      <c r="A125" s="7" t="s">
        <v>601</v>
      </c>
      <c r="B125" s="7" t="s">
        <v>977</v>
      </c>
      <c r="C125" s="7" t="s">
        <v>3116</v>
      </c>
      <c r="D125" s="7" t="s">
        <v>2862</v>
      </c>
      <c r="E125" s="9">
        <v>1</v>
      </c>
      <c r="F125" s="12">
        <v>1</v>
      </c>
      <c r="G125" s="7">
        <v>0</v>
      </c>
      <c r="H125" s="7">
        <v>0</v>
      </c>
      <c r="I125" s="7">
        <v>0</v>
      </c>
      <c r="J125" s="7">
        <v>0</v>
      </c>
      <c r="K125" s="7">
        <v>0</v>
      </c>
      <c r="L125" s="7">
        <v>0</v>
      </c>
      <c r="M125" s="7"/>
      <c r="N125" s="7" t="s">
        <v>3117</v>
      </c>
    </row>
    <row r="126" spans="1:14" x14ac:dyDescent="0.25">
      <c r="A126" s="7" t="s">
        <v>601</v>
      </c>
      <c r="B126" s="7" t="s">
        <v>984</v>
      </c>
      <c r="C126" s="7" t="s">
        <v>3118</v>
      </c>
      <c r="D126" s="7" t="s">
        <v>2862</v>
      </c>
      <c r="E126" s="7">
        <v>0</v>
      </c>
      <c r="F126" s="12">
        <v>1</v>
      </c>
      <c r="G126" s="7">
        <v>0</v>
      </c>
      <c r="H126" s="7">
        <v>0</v>
      </c>
      <c r="I126" s="7">
        <v>0</v>
      </c>
      <c r="J126" s="11">
        <v>2</v>
      </c>
      <c r="K126" s="7">
        <v>0</v>
      </c>
      <c r="L126" s="7">
        <v>0</v>
      </c>
      <c r="M126" s="7"/>
      <c r="N126" s="7" t="s">
        <v>3119</v>
      </c>
    </row>
    <row r="127" spans="1:14" x14ac:dyDescent="0.25">
      <c r="A127" s="7" t="s">
        <v>601</v>
      </c>
      <c r="B127" s="7" t="s">
        <v>994</v>
      </c>
      <c r="C127" s="7" t="s">
        <v>3120</v>
      </c>
      <c r="D127" s="7" t="s">
        <v>2862</v>
      </c>
      <c r="E127" s="7">
        <v>0</v>
      </c>
      <c r="F127" s="7">
        <v>0</v>
      </c>
      <c r="G127" s="7">
        <v>0</v>
      </c>
      <c r="H127" s="7">
        <v>0</v>
      </c>
      <c r="I127" s="10">
        <v>3</v>
      </c>
      <c r="J127" s="7">
        <v>0</v>
      </c>
      <c r="K127" s="7">
        <v>0</v>
      </c>
      <c r="L127" s="7">
        <v>0</v>
      </c>
      <c r="M127" s="7"/>
      <c r="N127" s="7" t="s">
        <v>3121</v>
      </c>
    </row>
    <row r="128" spans="1:14" x14ac:dyDescent="0.25">
      <c r="A128" s="7" t="s">
        <v>601</v>
      </c>
      <c r="B128" s="7" t="s">
        <v>1003</v>
      </c>
      <c r="C128" s="7" t="s">
        <v>3122</v>
      </c>
      <c r="D128" s="7" t="s">
        <v>2862</v>
      </c>
      <c r="E128" s="9">
        <v>1</v>
      </c>
      <c r="F128" s="12">
        <v>1</v>
      </c>
      <c r="G128" s="7">
        <v>0</v>
      </c>
      <c r="H128" s="7">
        <v>0</v>
      </c>
      <c r="I128" s="7">
        <v>0</v>
      </c>
      <c r="J128" s="11">
        <v>2</v>
      </c>
      <c r="K128" s="7">
        <v>0</v>
      </c>
      <c r="L128" s="7">
        <v>0</v>
      </c>
      <c r="M128" s="7"/>
      <c r="N128" s="7" t="s">
        <v>3123</v>
      </c>
    </row>
    <row r="129" spans="1:14" x14ac:dyDescent="0.25">
      <c r="A129" s="7" t="s">
        <v>601</v>
      </c>
      <c r="B129" s="7" t="s">
        <v>1014</v>
      </c>
      <c r="C129" s="7" t="s">
        <v>3124</v>
      </c>
      <c r="D129" s="7" t="s">
        <v>2862</v>
      </c>
      <c r="E129" s="7">
        <v>0</v>
      </c>
      <c r="F129" s="7">
        <v>0</v>
      </c>
      <c r="G129" s="7">
        <v>0</v>
      </c>
      <c r="H129" s="7">
        <v>0</v>
      </c>
      <c r="I129" s="7">
        <v>0</v>
      </c>
      <c r="J129" s="11">
        <v>1</v>
      </c>
      <c r="K129" s="7">
        <v>0</v>
      </c>
      <c r="L129" s="7">
        <v>0</v>
      </c>
      <c r="M129" s="7"/>
      <c r="N129" s="7" t="s">
        <v>3125</v>
      </c>
    </row>
    <row r="130" spans="1:14" x14ac:dyDescent="0.25">
      <c r="A130" s="7" t="s">
        <v>601</v>
      </c>
      <c r="B130" s="7" t="s">
        <v>1019</v>
      </c>
      <c r="C130" s="7" t="s">
        <v>3126</v>
      </c>
      <c r="D130" s="7" t="s">
        <v>2862</v>
      </c>
      <c r="E130" s="7">
        <v>0</v>
      </c>
      <c r="F130" s="7">
        <v>0</v>
      </c>
      <c r="G130" s="7">
        <v>0</v>
      </c>
      <c r="H130" s="7">
        <v>0</v>
      </c>
      <c r="I130" s="7">
        <v>0</v>
      </c>
      <c r="J130" s="11">
        <v>3</v>
      </c>
      <c r="K130" s="7">
        <v>0</v>
      </c>
      <c r="L130" s="7">
        <v>0</v>
      </c>
      <c r="M130" s="7"/>
      <c r="N130" s="7" t="s">
        <v>3127</v>
      </c>
    </row>
    <row r="131" spans="1:14" x14ac:dyDescent="0.25">
      <c r="A131" s="7" t="s">
        <v>601</v>
      </c>
      <c r="B131" s="7" t="s">
        <v>1028</v>
      </c>
      <c r="C131" s="7" t="s">
        <v>3093</v>
      </c>
      <c r="D131" s="7" t="s">
        <v>2862</v>
      </c>
      <c r="E131" s="7">
        <v>0</v>
      </c>
      <c r="F131" s="12">
        <v>2</v>
      </c>
      <c r="G131" s="7">
        <v>0</v>
      </c>
      <c r="H131" s="7">
        <v>0</v>
      </c>
      <c r="I131" s="7">
        <v>0</v>
      </c>
      <c r="J131" s="7">
        <v>0</v>
      </c>
      <c r="K131" s="7">
        <v>0</v>
      </c>
      <c r="L131" s="7">
        <v>0</v>
      </c>
      <c r="M131" s="7"/>
      <c r="N131" s="7" t="s">
        <v>3128</v>
      </c>
    </row>
    <row r="132" spans="1:14" x14ac:dyDescent="0.25">
      <c r="A132" s="7" t="s">
        <v>601</v>
      </c>
      <c r="B132" s="7" t="s">
        <v>1037</v>
      </c>
      <c r="C132" s="7" t="s">
        <v>3129</v>
      </c>
      <c r="D132" s="7" t="s">
        <v>2862</v>
      </c>
      <c r="E132" s="7">
        <v>0</v>
      </c>
      <c r="F132" s="12">
        <v>2</v>
      </c>
      <c r="G132" s="7">
        <v>0</v>
      </c>
      <c r="H132" s="7">
        <v>0</v>
      </c>
      <c r="I132" s="7">
        <v>0</v>
      </c>
      <c r="J132" s="7">
        <v>0</v>
      </c>
      <c r="K132" s="7">
        <v>0</v>
      </c>
      <c r="L132" s="7">
        <v>0</v>
      </c>
      <c r="M132" s="7"/>
      <c r="N132" s="7" t="s">
        <v>3130</v>
      </c>
    </row>
    <row r="133" spans="1:14" x14ac:dyDescent="0.25">
      <c r="A133" s="7" t="s">
        <v>601</v>
      </c>
      <c r="B133" s="7" t="s">
        <v>1047</v>
      </c>
      <c r="C133" s="7" t="s">
        <v>3105</v>
      </c>
      <c r="D133" s="7" t="s">
        <v>2862</v>
      </c>
      <c r="E133" s="9">
        <v>1</v>
      </c>
      <c r="F133" s="12">
        <v>1</v>
      </c>
      <c r="G133" s="7">
        <v>0</v>
      </c>
      <c r="H133" s="7">
        <v>0</v>
      </c>
      <c r="I133" s="7">
        <v>0</v>
      </c>
      <c r="J133" s="7">
        <v>0</v>
      </c>
      <c r="K133" s="7">
        <v>0</v>
      </c>
      <c r="L133" s="7">
        <v>0</v>
      </c>
      <c r="M133" s="7"/>
      <c r="N133" s="7" t="s">
        <v>3131</v>
      </c>
    </row>
    <row r="134" spans="1:14" x14ac:dyDescent="0.25">
      <c r="A134" s="7" t="s">
        <v>601</v>
      </c>
      <c r="B134" s="7" t="s">
        <v>1055</v>
      </c>
      <c r="C134" s="7" t="s">
        <v>3084</v>
      </c>
      <c r="D134" s="7" t="s">
        <v>2862</v>
      </c>
      <c r="E134" s="7">
        <v>0</v>
      </c>
      <c r="F134" s="12">
        <v>1</v>
      </c>
      <c r="G134" s="7">
        <v>0</v>
      </c>
      <c r="H134" s="7">
        <v>0</v>
      </c>
      <c r="I134" s="7">
        <v>0</v>
      </c>
      <c r="J134" s="11">
        <v>2</v>
      </c>
      <c r="K134" s="7">
        <v>0</v>
      </c>
      <c r="L134" s="7">
        <v>0</v>
      </c>
      <c r="M134" s="7"/>
      <c r="N134" s="7" t="s">
        <v>3132</v>
      </c>
    </row>
    <row r="135" spans="1:14" ht="25.5" x14ac:dyDescent="0.25">
      <c r="A135" s="7" t="s">
        <v>601</v>
      </c>
      <c r="B135" s="7" t="s">
        <v>1064</v>
      </c>
      <c r="C135" s="7" t="s">
        <v>3133</v>
      </c>
      <c r="D135" s="7" t="s">
        <v>2862</v>
      </c>
      <c r="E135" s="7">
        <v>0</v>
      </c>
      <c r="F135" s="7">
        <v>0</v>
      </c>
      <c r="G135" s="7">
        <v>0</v>
      </c>
      <c r="H135" s="7">
        <v>0</v>
      </c>
      <c r="I135" s="7">
        <v>0</v>
      </c>
      <c r="J135" s="11">
        <v>5</v>
      </c>
      <c r="K135" s="7">
        <v>0</v>
      </c>
      <c r="L135" s="7">
        <v>0</v>
      </c>
      <c r="M135" s="7"/>
      <c r="N135" s="7" t="s">
        <v>3134</v>
      </c>
    </row>
    <row r="136" spans="1:14" x14ac:dyDescent="0.25">
      <c r="A136" s="7" t="s">
        <v>601</v>
      </c>
      <c r="B136" s="7" t="s">
        <v>1076</v>
      </c>
      <c r="C136" s="7" t="s">
        <v>3135</v>
      </c>
      <c r="D136" s="7" t="s">
        <v>2862</v>
      </c>
      <c r="E136" s="7">
        <v>0</v>
      </c>
      <c r="F136" s="7">
        <v>0</v>
      </c>
      <c r="G136" s="7">
        <v>0</v>
      </c>
      <c r="H136" s="7">
        <v>0</v>
      </c>
      <c r="I136" s="7">
        <v>0</v>
      </c>
      <c r="J136" s="11">
        <v>1</v>
      </c>
      <c r="K136" s="7">
        <v>0</v>
      </c>
      <c r="L136" s="7">
        <v>0</v>
      </c>
      <c r="M136" s="7"/>
      <c r="N136" s="7" t="s">
        <v>3136</v>
      </c>
    </row>
    <row r="137" spans="1:14" x14ac:dyDescent="0.25">
      <c r="A137" s="7" t="s">
        <v>601</v>
      </c>
      <c r="B137" s="7" t="s">
        <v>1080</v>
      </c>
      <c r="C137" s="7" t="e">
        <v>#VALUE!</v>
      </c>
      <c r="D137" s="7" t="s">
        <v>2862</v>
      </c>
      <c r="E137" s="7">
        <v>0</v>
      </c>
      <c r="F137" s="12">
        <v>1</v>
      </c>
      <c r="G137" s="7">
        <v>0</v>
      </c>
      <c r="H137" s="7">
        <v>0</v>
      </c>
      <c r="I137" s="7">
        <v>0</v>
      </c>
      <c r="J137" s="11">
        <v>2</v>
      </c>
      <c r="K137" s="7">
        <v>0</v>
      </c>
      <c r="L137" s="7">
        <v>0</v>
      </c>
      <c r="M137" s="7"/>
      <c r="N137" s="7" t="s">
        <v>3137</v>
      </c>
    </row>
    <row r="138" spans="1:14" x14ac:dyDescent="0.25">
      <c r="A138" s="7" t="s">
        <v>1089</v>
      </c>
      <c r="B138" s="7" t="s">
        <v>1090</v>
      </c>
      <c r="C138" s="7" t="s">
        <v>3138</v>
      </c>
      <c r="D138" s="7" t="s">
        <v>2862</v>
      </c>
      <c r="E138" s="9">
        <v>2</v>
      </c>
      <c r="F138" s="7">
        <v>0</v>
      </c>
      <c r="G138" s="7">
        <v>0</v>
      </c>
      <c r="H138" s="7">
        <v>0</v>
      </c>
      <c r="I138" s="7">
        <v>0</v>
      </c>
      <c r="J138" s="7">
        <v>0</v>
      </c>
      <c r="K138" s="7">
        <v>0</v>
      </c>
      <c r="L138" s="7">
        <v>0</v>
      </c>
      <c r="M138" s="7"/>
      <c r="N138" s="7" t="s">
        <v>3139</v>
      </c>
    </row>
    <row r="139" spans="1:14" x14ac:dyDescent="0.25">
      <c r="A139" s="7" t="s">
        <v>1089</v>
      </c>
      <c r="B139" s="7" t="s">
        <v>1100</v>
      </c>
      <c r="C139" s="7" t="s">
        <v>3140</v>
      </c>
      <c r="D139" s="7" t="s">
        <v>2862</v>
      </c>
      <c r="E139" s="9">
        <v>4</v>
      </c>
      <c r="F139" s="7">
        <v>0</v>
      </c>
      <c r="G139" s="8">
        <v>1</v>
      </c>
      <c r="H139" s="7">
        <v>0</v>
      </c>
      <c r="I139" s="7">
        <v>0</v>
      </c>
      <c r="J139" s="7">
        <v>0</v>
      </c>
      <c r="K139" s="7">
        <v>0</v>
      </c>
      <c r="L139" s="7">
        <v>0</v>
      </c>
      <c r="M139" s="7"/>
      <c r="N139" s="7" t="s">
        <v>3141</v>
      </c>
    </row>
    <row r="140" spans="1:14" x14ac:dyDescent="0.25">
      <c r="A140" s="7" t="s">
        <v>1089</v>
      </c>
      <c r="B140" s="7" t="s">
        <v>1117</v>
      </c>
      <c r="C140" s="7" t="s">
        <v>3142</v>
      </c>
      <c r="D140" s="7" t="s">
        <v>2862</v>
      </c>
      <c r="E140" s="9">
        <v>2</v>
      </c>
      <c r="F140" s="7">
        <v>0</v>
      </c>
      <c r="G140" s="7">
        <v>0</v>
      </c>
      <c r="H140" s="7">
        <v>0</v>
      </c>
      <c r="I140" s="10">
        <v>1</v>
      </c>
      <c r="J140" s="7">
        <v>0</v>
      </c>
      <c r="K140" s="7">
        <v>0</v>
      </c>
      <c r="L140" s="7">
        <v>0</v>
      </c>
      <c r="M140" s="7"/>
      <c r="N140" s="7" t="s">
        <v>3143</v>
      </c>
    </row>
    <row r="141" spans="1:14" ht="25.5" x14ac:dyDescent="0.25">
      <c r="A141" s="7" t="s">
        <v>1089</v>
      </c>
      <c r="B141" s="7" t="s">
        <v>1130</v>
      </c>
      <c r="C141" s="7" t="s">
        <v>3144</v>
      </c>
      <c r="D141" s="7" t="s">
        <v>970</v>
      </c>
      <c r="E141" s="7">
        <v>0</v>
      </c>
      <c r="F141" s="7">
        <v>0</v>
      </c>
      <c r="G141" s="7">
        <v>0</v>
      </c>
      <c r="H141" s="7">
        <v>0</v>
      </c>
      <c r="I141" s="10">
        <v>6</v>
      </c>
      <c r="J141" s="7">
        <v>0</v>
      </c>
      <c r="K141" s="7">
        <v>0</v>
      </c>
      <c r="L141" s="7">
        <v>0</v>
      </c>
      <c r="M141" s="7"/>
      <c r="N141" s="7" t="s">
        <v>3145</v>
      </c>
    </row>
    <row r="142" spans="1:14" x14ac:dyDescent="0.25">
      <c r="A142" s="7" t="s">
        <v>1089</v>
      </c>
      <c r="B142" s="7" t="s">
        <v>1147</v>
      </c>
      <c r="C142" s="7" t="s">
        <v>3146</v>
      </c>
      <c r="D142" s="7" t="s">
        <v>970</v>
      </c>
      <c r="E142" s="7">
        <v>0</v>
      </c>
      <c r="F142" s="7">
        <v>0</v>
      </c>
      <c r="G142" s="7">
        <v>0</v>
      </c>
      <c r="H142" s="7">
        <v>0</v>
      </c>
      <c r="I142" s="10">
        <v>4</v>
      </c>
      <c r="J142" s="7">
        <v>0</v>
      </c>
      <c r="K142" s="7">
        <v>0</v>
      </c>
      <c r="L142" s="7">
        <v>0</v>
      </c>
      <c r="M142" s="7"/>
      <c r="N142" s="7" t="s">
        <v>3147</v>
      </c>
    </row>
    <row r="143" spans="1:14" x14ac:dyDescent="0.25">
      <c r="A143" s="7" t="s">
        <v>1089</v>
      </c>
      <c r="B143" s="7" t="s">
        <v>1159</v>
      </c>
      <c r="C143" s="7" t="s">
        <v>3148</v>
      </c>
      <c r="D143" s="7" t="s">
        <v>2862</v>
      </c>
      <c r="E143" s="9">
        <v>4</v>
      </c>
      <c r="F143" s="7">
        <v>0</v>
      </c>
      <c r="G143" s="7">
        <v>0</v>
      </c>
      <c r="H143" s="7">
        <v>0</v>
      </c>
      <c r="I143" s="7">
        <v>0</v>
      </c>
      <c r="J143" s="7">
        <v>0</v>
      </c>
      <c r="K143" s="7">
        <v>0</v>
      </c>
      <c r="L143" s="7">
        <v>0</v>
      </c>
      <c r="M143" s="7"/>
      <c r="N143" s="7" t="s">
        <v>3149</v>
      </c>
    </row>
    <row r="144" spans="1:14" x14ac:dyDescent="0.25">
      <c r="A144" s="7" t="s">
        <v>1089</v>
      </c>
      <c r="B144" s="7" t="s">
        <v>1172</v>
      </c>
      <c r="C144" s="7" t="s">
        <v>3150</v>
      </c>
      <c r="D144" s="7" t="s">
        <v>2862</v>
      </c>
      <c r="E144" s="9">
        <v>3</v>
      </c>
      <c r="F144" s="7">
        <v>0</v>
      </c>
      <c r="G144" s="8">
        <v>1</v>
      </c>
      <c r="H144" s="13">
        <v>1</v>
      </c>
      <c r="I144" s="7">
        <v>0</v>
      </c>
      <c r="J144" s="7">
        <v>0</v>
      </c>
      <c r="K144" s="7">
        <v>0</v>
      </c>
      <c r="L144" s="7">
        <v>0</v>
      </c>
      <c r="M144" s="7"/>
      <c r="N144" s="7" t="s">
        <v>3151</v>
      </c>
    </row>
    <row r="145" spans="1:14" x14ac:dyDescent="0.25">
      <c r="A145" s="7" t="s">
        <v>1089</v>
      </c>
      <c r="B145" s="7" t="s">
        <v>1186</v>
      </c>
      <c r="C145" s="7" t="s">
        <v>3152</v>
      </c>
      <c r="D145" s="7" t="s">
        <v>2862</v>
      </c>
      <c r="E145" s="9">
        <v>2</v>
      </c>
      <c r="F145" s="7">
        <v>0</v>
      </c>
      <c r="G145" s="7">
        <v>0</v>
      </c>
      <c r="H145" s="13">
        <v>1</v>
      </c>
      <c r="I145" s="10">
        <v>1</v>
      </c>
      <c r="J145" s="7">
        <v>0</v>
      </c>
      <c r="K145" s="7">
        <v>0</v>
      </c>
      <c r="L145" s="7">
        <v>0</v>
      </c>
      <c r="M145" s="7"/>
      <c r="N145" s="7" t="s">
        <v>3153</v>
      </c>
    </row>
    <row r="146" spans="1:14" x14ac:dyDescent="0.25">
      <c r="A146" s="7" t="s">
        <v>1089</v>
      </c>
      <c r="B146" s="7" t="s">
        <v>1201</v>
      </c>
      <c r="C146" s="7" t="s">
        <v>3154</v>
      </c>
      <c r="D146" s="7" t="s">
        <v>970</v>
      </c>
      <c r="E146" s="7">
        <v>0</v>
      </c>
      <c r="F146" s="7">
        <v>0</v>
      </c>
      <c r="G146" s="7">
        <v>0</v>
      </c>
      <c r="H146" s="7">
        <v>0</v>
      </c>
      <c r="I146" s="10">
        <v>4</v>
      </c>
      <c r="J146" s="7">
        <v>0</v>
      </c>
      <c r="K146" s="7">
        <v>0</v>
      </c>
      <c r="L146" s="7">
        <v>0</v>
      </c>
      <c r="M146" s="7"/>
      <c r="N146" s="7" t="s">
        <v>3155</v>
      </c>
    </row>
    <row r="147" spans="1:14" ht="25.5" x14ac:dyDescent="0.25">
      <c r="A147" s="7" t="s">
        <v>1089</v>
      </c>
      <c r="B147" s="7" t="s">
        <v>1212</v>
      </c>
      <c r="C147" s="7" t="s">
        <v>3156</v>
      </c>
      <c r="D147" s="7" t="s">
        <v>2862</v>
      </c>
      <c r="E147" s="9">
        <v>4</v>
      </c>
      <c r="F147" s="7">
        <v>0</v>
      </c>
      <c r="G147" s="7">
        <v>0</v>
      </c>
      <c r="H147" s="7">
        <v>0</v>
      </c>
      <c r="I147" s="10">
        <v>1</v>
      </c>
      <c r="J147" s="7">
        <v>0</v>
      </c>
      <c r="K147" s="7">
        <v>0</v>
      </c>
      <c r="L147" s="7">
        <v>0</v>
      </c>
      <c r="M147" s="7"/>
      <c r="N147" s="7" t="s">
        <v>3157</v>
      </c>
    </row>
    <row r="148" spans="1:14" ht="25.5" x14ac:dyDescent="0.25">
      <c r="A148" s="7" t="s">
        <v>1089</v>
      </c>
      <c r="B148" s="7" t="s">
        <v>1225</v>
      </c>
      <c r="C148" s="7" t="s">
        <v>2912</v>
      </c>
      <c r="D148" s="7" t="s">
        <v>2862</v>
      </c>
      <c r="E148" s="9">
        <v>4</v>
      </c>
      <c r="F148" s="7">
        <v>0</v>
      </c>
      <c r="G148" s="7">
        <v>0</v>
      </c>
      <c r="H148" s="13">
        <v>1</v>
      </c>
      <c r="I148" s="7">
        <v>0</v>
      </c>
      <c r="J148" s="7">
        <v>0</v>
      </c>
      <c r="K148" s="7">
        <v>0</v>
      </c>
      <c r="L148" s="7">
        <v>0</v>
      </c>
      <c r="M148" s="7"/>
      <c r="N148" s="7" t="s">
        <v>3158</v>
      </c>
    </row>
    <row r="149" spans="1:14" ht="25.5" x14ac:dyDescent="0.25">
      <c r="A149" s="7" t="s">
        <v>1089</v>
      </c>
      <c r="B149" s="7" t="s">
        <v>3159</v>
      </c>
      <c r="C149" s="7" t="s">
        <v>2914</v>
      </c>
      <c r="D149" s="7" t="s">
        <v>2862</v>
      </c>
      <c r="E149" s="7"/>
      <c r="F149" s="7"/>
      <c r="G149" s="7"/>
      <c r="H149" s="7"/>
      <c r="I149" s="7"/>
      <c r="J149" s="7"/>
      <c r="K149" s="7"/>
      <c r="L149" s="7"/>
      <c r="M149" s="7"/>
      <c r="N149" s="7"/>
    </row>
    <row r="150" spans="1:14" x14ac:dyDescent="0.25">
      <c r="A150" s="7" t="s">
        <v>1089</v>
      </c>
      <c r="B150" s="7" t="s">
        <v>1240</v>
      </c>
      <c r="C150" s="7" t="s">
        <v>3160</v>
      </c>
      <c r="D150" s="7" t="s">
        <v>3066</v>
      </c>
      <c r="E150" s="9">
        <v>1</v>
      </c>
      <c r="F150" s="7">
        <v>0</v>
      </c>
      <c r="G150" s="7">
        <v>0</v>
      </c>
      <c r="H150" s="7">
        <v>0</v>
      </c>
      <c r="I150" s="7">
        <v>0</v>
      </c>
      <c r="J150" s="7">
        <v>0</v>
      </c>
      <c r="K150" s="7">
        <v>0</v>
      </c>
      <c r="L150" s="7">
        <v>0</v>
      </c>
      <c r="M150" s="7"/>
      <c r="N150" s="7" t="s">
        <v>3161</v>
      </c>
    </row>
    <row r="151" spans="1:14" x14ac:dyDescent="0.25">
      <c r="A151" s="7" t="s">
        <v>1246</v>
      </c>
      <c r="B151" s="7" t="s">
        <v>1247</v>
      </c>
      <c r="C151" s="7" t="s">
        <v>3162</v>
      </c>
      <c r="D151" s="7" t="s">
        <v>2862</v>
      </c>
      <c r="E151" s="9">
        <v>3</v>
      </c>
      <c r="F151" s="7">
        <v>0</v>
      </c>
      <c r="G151" s="7">
        <v>0</v>
      </c>
      <c r="H151" s="7">
        <v>0</v>
      </c>
      <c r="I151" s="7">
        <v>0</v>
      </c>
      <c r="J151" s="7">
        <v>0</v>
      </c>
      <c r="K151" s="7">
        <v>0</v>
      </c>
      <c r="L151" s="7">
        <v>0</v>
      </c>
      <c r="M151" s="7"/>
      <c r="N151" s="7" t="s">
        <v>3163</v>
      </c>
    </row>
    <row r="152" spans="1:14" ht="25.5" x14ac:dyDescent="0.25">
      <c r="A152" s="7" t="s">
        <v>1246</v>
      </c>
      <c r="B152" s="7" t="s">
        <v>1256</v>
      </c>
      <c r="C152" s="7" t="s">
        <v>3164</v>
      </c>
      <c r="D152" s="7" t="s">
        <v>970</v>
      </c>
      <c r="E152" s="7">
        <v>0</v>
      </c>
      <c r="F152" s="7">
        <v>0</v>
      </c>
      <c r="G152" s="7">
        <v>0</v>
      </c>
      <c r="H152" s="7">
        <v>0</v>
      </c>
      <c r="I152" s="10">
        <v>1</v>
      </c>
      <c r="J152" s="7">
        <v>0</v>
      </c>
      <c r="K152" s="7">
        <v>0</v>
      </c>
      <c r="L152" s="7">
        <v>0</v>
      </c>
      <c r="M152" s="7"/>
      <c r="N152" s="7" t="s">
        <v>3165</v>
      </c>
    </row>
    <row r="153" spans="1:14" x14ac:dyDescent="0.25">
      <c r="A153" s="7" t="s">
        <v>1246</v>
      </c>
      <c r="B153" s="7" t="s">
        <v>1260</v>
      </c>
      <c r="C153" s="7" t="s">
        <v>3166</v>
      </c>
      <c r="D153" s="7" t="s">
        <v>2862</v>
      </c>
      <c r="E153" s="9">
        <v>4</v>
      </c>
      <c r="F153" s="7">
        <v>0</v>
      </c>
      <c r="G153" s="7">
        <v>0</v>
      </c>
      <c r="H153" s="7">
        <v>0</v>
      </c>
      <c r="I153" s="7">
        <v>0</v>
      </c>
      <c r="J153" s="7">
        <v>0</v>
      </c>
      <c r="K153" s="7">
        <v>0</v>
      </c>
      <c r="L153" s="7">
        <v>0</v>
      </c>
      <c r="M153" s="7"/>
      <c r="N153" s="7" t="s">
        <v>3167</v>
      </c>
    </row>
    <row r="154" spans="1:14" x14ac:dyDescent="0.25">
      <c r="A154" s="7" t="s">
        <v>1246</v>
      </c>
      <c r="B154" s="7" t="s">
        <v>1271</v>
      </c>
      <c r="C154" s="7" t="s">
        <v>3168</v>
      </c>
      <c r="D154" s="7" t="s">
        <v>2862</v>
      </c>
      <c r="E154" s="9">
        <v>3</v>
      </c>
      <c r="F154" s="7">
        <v>0</v>
      </c>
      <c r="G154" s="7">
        <v>0</v>
      </c>
      <c r="H154" s="7">
        <v>0</v>
      </c>
      <c r="I154" s="7">
        <v>0</v>
      </c>
      <c r="J154" s="7">
        <v>0</v>
      </c>
      <c r="K154" s="7">
        <v>0</v>
      </c>
      <c r="L154" s="7">
        <v>0</v>
      </c>
      <c r="M154" s="7"/>
      <c r="N154" s="7" t="s">
        <v>3169</v>
      </c>
    </row>
    <row r="155" spans="1:14" ht="25.5" x14ac:dyDescent="0.25">
      <c r="A155" s="7" t="s">
        <v>1246</v>
      </c>
      <c r="B155" s="7" t="s">
        <v>1280</v>
      </c>
      <c r="C155" s="7" t="s">
        <v>3170</v>
      </c>
      <c r="D155" s="7" t="s">
        <v>2862</v>
      </c>
      <c r="E155" s="9">
        <v>5</v>
      </c>
      <c r="F155" s="7">
        <v>0</v>
      </c>
      <c r="G155" s="7">
        <v>0</v>
      </c>
      <c r="H155" s="7">
        <v>0</v>
      </c>
      <c r="I155" s="7">
        <v>0</v>
      </c>
      <c r="J155" s="7">
        <v>0</v>
      </c>
      <c r="K155" s="7">
        <v>0</v>
      </c>
      <c r="L155" s="7">
        <v>0</v>
      </c>
      <c r="M155" s="7"/>
      <c r="N155" s="7" t="s">
        <v>3171</v>
      </c>
    </row>
    <row r="156" spans="1:14" ht="25.5" x14ac:dyDescent="0.25">
      <c r="A156" s="7" t="s">
        <v>1246</v>
      </c>
      <c r="B156" s="7" t="s">
        <v>1298</v>
      </c>
      <c r="C156" s="7" t="s">
        <v>3172</v>
      </c>
      <c r="D156" s="7" t="s">
        <v>2862</v>
      </c>
      <c r="E156" s="9">
        <v>5</v>
      </c>
      <c r="F156" s="7">
        <v>0</v>
      </c>
      <c r="G156" s="7">
        <v>0</v>
      </c>
      <c r="H156" s="7">
        <v>0</v>
      </c>
      <c r="I156" s="7">
        <v>0</v>
      </c>
      <c r="J156" s="7">
        <v>0</v>
      </c>
      <c r="K156" s="7">
        <v>0</v>
      </c>
      <c r="L156" s="7">
        <v>0</v>
      </c>
      <c r="M156" s="7" t="s">
        <v>3173</v>
      </c>
      <c r="N156" s="7" t="s">
        <v>3174</v>
      </c>
    </row>
    <row r="157" spans="1:14" ht="25.5" x14ac:dyDescent="0.25">
      <c r="A157" s="7" t="s">
        <v>1246</v>
      </c>
      <c r="B157" s="7" t="s">
        <v>1308</v>
      </c>
      <c r="C157" s="7" t="s">
        <v>3175</v>
      </c>
      <c r="D157" s="7" t="s">
        <v>2862</v>
      </c>
      <c r="E157" s="9">
        <v>5</v>
      </c>
      <c r="F157" s="7">
        <v>0</v>
      </c>
      <c r="G157" s="7">
        <v>0</v>
      </c>
      <c r="H157" s="7">
        <v>0</v>
      </c>
      <c r="I157" s="7">
        <v>0</v>
      </c>
      <c r="J157" s="7">
        <v>0</v>
      </c>
      <c r="K157" s="7">
        <v>0</v>
      </c>
      <c r="L157" s="7">
        <v>0</v>
      </c>
      <c r="M157" s="7"/>
      <c r="N157" s="7" t="s">
        <v>3176</v>
      </c>
    </row>
    <row r="158" spans="1:14" ht="25.5" x14ac:dyDescent="0.25">
      <c r="A158" s="7" t="s">
        <v>1246</v>
      </c>
      <c r="B158" s="7" t="s">
        <v>1319</v>
      </c>
      <c r="C158" s="7" t="s">
        <v>3177</v>
      </c>
      <c r="D158" s="7" t="s">
        <v>2862</v>
      </c>
      <c r="E158" s="9">
        <v>5</v>
      </c>
      <c r="F158" s="7">
        <v>0</v>
      </c>
      <c r="G158" s="7">
        <v>0</v>
      </c>
      <c r="H158" s="7">
        <v>0</v>
      </c>
      <c r="I158" s="7">
        <v>0</v>
      </c>
      <c r="J158" s="7">
        <v>0</v>
      </c>
      <c r="K158" s="7">
        <v>0</v>
      </c>
      <c r="L158" s="7">
        <v>0</v>
      </c>
      <c r="M158" s="7"/>
      <c r="N158" s="7" t="s">
        <v>3178</v>
      </c>
    </row>
    <row r="159" spans="1:14" x14ac:dyDescent="0.25">
      <c r="A159" s="7" t="s">
        <v>1246</v>
      </c>
      <c r="B159" s="7" t="s">
        <v>1330</v>
      </c>
      <c r="C159" s="7" t="s">
        <v>3179</v>
      </c>
      <c r="D159" s="7" t="s">
        <v>2862</v>
      </c>
      <c r="E159" s="9">
        <v>5</v>
      </c>
      <c r="F159" s="7">
        <v>0</v>
      </c>
      <c r="G159" s="7">
        <v>0</v>
      </c>
      <c r="H159" s="7">
        <v>0</v>
      </c>
      <c r="I159" s="7">
        <v>0</v>
      </c>
      <c r="J159" s="7">
        <v>0</v>
      </c>
      <c r="K159" s="7">
        <v>0</v>
      </c>
      <c r="L159" s="7">
        <v>0</v>
      </c>
      <c r="M159" s="7"/>
      <c r="N159" s="7" t="s">
        <v>3180</v>
      </c>
    </row>
    <row r="160" spans="1:14" ht="25.5" x14ac:dyDescent="0.25">
      <c r="A160" s="7" t="s">
        <v>1246</v>
      </c>
      <c r="B160" s="7" t="s">
        <v>1340</v>
      </c>
      <c r="C160" s="7" t="s">
        <v>3181</v>
      </c>
      <c r="D160" s="7" t="s">
        <v>2862</v>
      </c>
      <c r="E160" s="9">
        <v>5</v>
      </c>
      <c r="F160" s="7">
        <v>0</v>
      </c>
      <c r="G160" s="7">
        <v>0</v>
      </c>
      <c r="H160" s="7">
        <v>0</v>
      </c>
      <c r="I160" s="7">
        <v>0</v>
      </c>
      <c r="J160" s="7">
        <v>0</v>
      </c>
      <c r="K160" s="7">
        <v>0</v>
      </c>
      <c r="L160" s="7">
        <v>0</v>
      </c>
      <c r="M160" s="7"/>
      <c r="N160" s="7" t="s">
        <v>3182</v>
      </c>
    </row>
    <row r="161" spans="1:14" ht="25.5" x14ac:dyDescent="0.25">
      <c r="A161" s="7" t="s">
        <v>1246</v>
      </c>
      <c r="B161" s="7" t="s">
        <v>1348</v>
      </c>
      <c r="C161" s="7" t="s">
        <v>3183</v>
      </c>
      <c r="D161" s="7" t="s">
        <v>2862</v>
      </c>
      <c r="E161" s="9">
        <v>4</v>
      </c>
      <c r="F161" s="7">
        <v>0</v>
      </c>
      <c r="G161" s="7">
        <v>0</v>
      </c>
      <c r="H161" s="7">
        <v>0</v>
      </c>
      <c r="I161" s="7">
        <v>0</v>
      </c>
      <c r="J161" s="7">
        <v>0</v>
      </c>
      <c r="K161" s="7">
        <v>0</v>
      </c>
      <c r="L161" s="7">
        <v>0</v>
      </c>
      <c r="M161" s="7"/>
      <c r="N161" s="7" t="s">
        <v>3184</v>
      </c>
    </row>
    <row r="162" spans="1:14" ht="25.5" x14ac:dyDescent="0.25">
      <c r="A162" s="7" t="s">
        <v>1246</v>
      </c>
      <c r="B162" s="7" t="s">
        <v>1358</v>
      </c>
      <c r="C162" s="7" t="s">
        <v>3185</v>
      </c>
      <c r="D162" s="7" t="s">
        <v>2862</v>
      </c>
      <c r="E162" s="9">
        <v>3</v>
      </c>
      <c r="F162" s="7">
        <v>0</v>
      </c>
      <c r="G162" s="7">
        <v>0</v>
      </c>
      <c r="H162" s="7">
        <v>0</v>
      </c>
      <c r="I162" s="7">
        <v>0</v>
      </c>
      <c r="J162" s="7">
        <v>0</v>
      </c>
      <c r="K162" s="7">
        <v>0</v>
      </c>
      <c r="L162" s="7">
        <v>0</v>
      </c>
      <c r="M162" s="7"/>
      <c r="N162" s="7" t="s">
        <v>3186</v>
      </c>
    </row>
    <row r="163" spans="1:14" ht="25.5" x14ac:dyDescent="0.25">
      <c r="A163" s="7" t="s">
        <v>1246</v>
      </c>
      <c r="B163" s="7" t="s">
        <v>1368</v>
      </c>
      <c r="C163" s="7" t="s">
        <v>3187</v>
      </c>
      <c r="D163" s="7" t="s">
        <v>3066</v>
      </c>
      <c r="E163" s="9">
        <v>1</v>
      </c>
      <c r="F163" s="12">
        <v>1</v>
      </c>
      <c r="G163" s="7">
        <v>0</v>
      </c>
      <c r="H163" s="7">
        <v>0</v>
      </c>
      <c r="I163" s="10">
        <v>1</v>
      </c>
      <c r="J163" s="7">
        <v>0</v>
      </c>
      <c r="K163" s="7">
        <v>0</v>
      </c>
      <c r="L163" s="7">
        <v>0</v>
      </c>
      <c r="M163" s="7"/>
      <c r="N163" s="7" t="s">
        <v>3188</v>
      </c>
    </row>
    <row r="164" spans="1:14" x14ac:dyDescent="0.25">
      <c r="A164" s="7" t="s">
        <v>1246</v>
      </c>
      <c r="B164" s="7" t="s">
        <v>1378</v>
      </c>
      <c r="C164" s="7" t="s">
        <v>3189</v>
      </c>
      <c r="D164" s="7" t="s">
        <v>3066</v>
      </c>
      <c r="E164" s="7">
        <v>0</v>
      </c>
      <c r="F164" s="7">
        <v>0</v>
      </c>
      <c r="G164" s="7">
        <v>0</v>
      </c>
      <c r="H164" s="7">
        <v>0</v>
      </c>
      <c r="I164" s="10">
        <v>1</v>
      </c>
      <c r="J164" s="7">
        <v>0</v>
      </c>
      <c r="K164" s="7">
        <v>0</v>
      </c>
      <c r="L164" s="7">
        <v>0</v>
      </c>
      <c r="M164" s="7"/>
      <c r="N164" s="7" t="s">
        <v>3190</v>
      </c>
    </row>
    <row r="165" spans="1:14" x14ac:dyDescent="0.25">
      <c r="A165" s="7" t="s">
        <v>1382</v>
      </c>
      <c r="B165" s="7" t="s">
        <v>1383</v>
      </c>
      <c r="C165" s="7" t="s">
        <v>3191</v>
      </c>
      <c r="D165" s="7" t="s">
        <v>2862</v>
      </c>
      <c r="E165" s="9">
        <v>1</v>
      </c>
      <c r="F165" s="12">
        <v>2</v>
      </c>
      <c r="G165" s="7">
        <v>0</v>
      </c>
      <c r="H165" s="7">
        <v>0</v>
      </c>
      <c r="I165" s="7">
        <v>0</v>
      </c>
      <c r="J165" s="7">
        <v>0</v>
      </c>
      <c r="K165" s="7">
        <v>0</v>
      </c>
      <c r="L165" s="7">
        <v>0</v>
      </c>
      <c r="M165" s="7"/>
      <c r="N165" s="7" t="s">
        <v>3192</v>
      </c>
    </row>
    <row r="166" spans="1:14" x14ac:dyDescent="0.25">
      <c r="A166" s="7" t="s">
        <v>1382</v>
      </c>
      <c r="B166" s="7" t="s">
        <v>1397</v>
      </c>
      <c r="C166" s="7" t="s">
        <v>3193</v>
      </c>
      <c r="D166" s="7" t="s">
        <v>3066</v>
      </c>
      <c r="E166" s="9">
        <v>4</v>
      </c>
      <c r="F166" s="12">
        <v>1</v>
      </c>
      <c r="G166" s="7">
        <v>0</v>
      </c>
      <c r="H166" s="7">
        <v>0</v>
      </c>
      <c r="I166" s="7">
        <v>0</v>
      </c>
      <c r="J166" s="7">
        <v>0</v>
      </c>
      <c r="K166" s="7">
        <v>0</v>
      </c>
      <c r="L166" s="7">
        <v>0</v>
      </c>
      <c r="M166" s="7"/>
      <c r="N166" s="7" t="s">
        <v>3194</v>
      </c>
    </row>
    <row r="167" spans="1:14" x14ac:dyDescent="0.25">
      <c r="A167" s="7" t="s">
        <v>1382</v>
      </c>
      <c r="B167" s="7" t="s">
        <v>1411</v>
      </c>
      <c r="C167" s="7" t="s">
        <v>3195</v>
      </c>
      <c r="D167" s="7" t="s">
        <v>2862</v>
      </c>
      <c r="E167" s="9">
        <v>2</v>
      </c>
      <c r="F167" s="12">
        <v>2</v>
      </c>
      <c r="G167" s="7">
        <v>0</v>
      </c>
      <c r="H167" s="7">
        <v>0</v>
      </c>
      <c r="I167" s="10">
        <v>1</v>
      </c>
      <c r="J167" s="7">
        <v>0</v>
      </c>
      <c r="K167" s="7">
        <v>0</v>
      </c>
      <c r="L167" s="7">
        <v>0</v>
      </c>
      <c r="M167" s="7"/>
      <c r="N167" s="7" t="s">
        <v>3196</v>
      </c>
    </row>
    <row r="168" spans="1:14" ht="25.5" x14ac:dyDescent="0.25">
      <c r="A168" s="7" t="s">
        <v>1382</v>
      </c>
      <c r="B168" s="7" t="s">
        <v>1425</v>
      </c>
      <c r="C168" s="7" t="s">
        <v>3197</v>
      </c>
      <c r="D168" s="7" t="s">
        <v>2862</v>
      </c>
      <c r="E168" s="9">
        <v>2</v>
      </c>
      <c r="F168" s="7">
        <v>0</v>
      </c>
      <c r="G168" s="7">
        <v>0</v>
      </c>
      <c r="H168" s="13">
        <v>1</v>
      </c>
      <c r="I168" s="10">
        <v>3</v>
      </c>
      <c r="J168" s="7">
        <v>0</v>
      </c>
      <c r="K168" s="7">
        <v>0</v>
      </c>
      <c r="L168" s="7">
        <v>0</v>
      </c>
      <c r="M168" s="7"/>
      <c r="N168" s="7" t="s">
        <v>3198</v>
      </c>
    </row>
    <row r="169" spans="1:14" x14ac:dyDescent="0.25">
      <c r="A169" s="7" t="s">
        <v>1382</v>
      </c>
      <c r="B169" s="7" t="s">
        <v>1440</v>
      </c>
      <c r="C169" s="7" t="s">
        <v>3199</v>
      </c>
      <c r="D169" s="7" t="s">
        <v>2862</v>
      </c>
      <c r="E169" s="9">
        <v>1</v>
      </c>
      <c r="F169" s="12">
        <v>3</v>
      </c>
      <c r="G169" s="7">
        <v>0</v>
      </c>
      <c r="H169" s="7">
        <v>0</v>
      </c>
      <c r="I169" s="7">
        <v>0</v>
      </c>
      <c r="J169" s="7">
        <v>0</v>
      </c>
      <c r="K169" s="7">
        <v>0</v>
      </c>
      <c r="L169" s="7">
        <v>0</v>
      </c>
      <c r="M169" s="7"/>
      <c r="N169" s="7" t="s">
        <v>3200</v>
      </c>
    </row>
    <row r="170" spans="1:14" ht="25.5" x14ac:dyDescent="0.25">
      <c r="A170" s="7" t="s">
        <v>1382</v>
      </c>
      <c r="B170" s="7" t="s">
        <v>1452</v>
      </c>
      <c r="C170" s="7" t="s">
        <v>3201</v>
      </c>
      <c r="D170" s="7" t="s">
        <v>2862</v>
      </c>
      <c r="E170" s="9">
        <v>4</v>
      </c>
      <c r="F170" s="7">
        <v>0</v>
      </c>
      <c r="G170" s="7">
        <v>0</v>
      </c>
      <c r="H170" s="7">
        <v>0</v>
      </c>
      <c r="I170" s="7">
        <v>0</v>
      </c>
      <c r="J170" s="7">
        <v>0</v>
      </c>
      <c r="K170" s="7">
        <v>0</v>
      </c>
      <c r="L170" s="7">
        <v>0</v>
      </c>
      <c r="M170" s="7"/>
      <c r="N170" s="7" t="s">
        <v>3202</v>
      </c>
    </row>
    <row r="171" spans="1:14" x14ac:dyDescent="0.25">
      <c r="A171" s="7" t="s">
        <v>1382</v>
      </c>
      <c r="B171" s="7" t="s">
        <v>1463</v>
      </c>
      <c r="C171" s="7" t="s">
        <v>3203</v>
      </c>
      <c r="D171" s="7" t="s">
        <v>3066</v>
      </c>
      <c r="E171" s="7">
        <v>0</v>
      </c>
      <c r="F171" s="12">
        <v>3</v>
      </c>
      <c r="G171" s="7">
        <v>0</v>
      </c>
      <c r="H171" s="7">
        <v>0</v>
      </c>
      <c r="I171" s="10">
        <v>2</v>
      </c>
      <c r="J171" s="7">
        <v>0</v>
      </c>
      <c r="K171" s="7">
        <v>0</v>
      </c>
      <c r="L171" s="7">
        <v>0</v>
      </c>
      <c r="M171" s="7"/>
      <c r="N171" s="7" t="s">
        <v>3204</v>
      </c>
    </row>
    <row r="172" spans="1:14" x14ac:dyDescent="0.25">
      <c r="A172" s="7" t="s">
        <v>1477</v>
      </c>
      <c r="B172" s="7" t="s">
        <v>1478</v>
      </c>
      <c r="C172" s="7" t="s">
        <v>3205</v>
      </c>
      <c r="D172" s="7" t="s">
        <v>2862</v>
      </c>
      <c r="E172" s="9">
        <v>1</v>
      </c>
      <c r="F172" s="7">
        <v>0</v>
      </c>
      <c r="G172" s="7">
        <v>0</v>
      </c>
      <c r="H172" s="7">
        <v>0</v>
      </c>
      <c r="I172" s="7">
        <v>0</v>
      </c>
      <c r="J172" s="7">
        <v>0</v>
      </c>
      <c r="K172" s="7">
        <v>0</v>
      </c>
      <c r="L172" s="7">
        <v>0</v>
      </c>
      <c r="M172" s="7"/>
      <c r="N172" s="7" t="s">
        <v>3206</v>
      </c>
    </row>
    <row r="173" spans="1:14" ht="25.5" x14ac:dyDescent="0.25">
      <c r="A173" s="7" t="s">
        <v>1477</v>
      </c>
      <c r="B173" s="7" t="s">
        <v>1485</v>
      </c>
      <c r="C173" s="7" t="s">
        <v>3207</v>
      </c>
      <c r="D173" s="7" t="s">
        <v>970</v>
      </c>
      <c r="E173" s="7">
        <v>0</v>
      </c>
      <c r="F173" s="7">
        <v>0</v>
      </c>
      <c r="G173" s="7">
        <v>0</v>
      </c>
      <c r="H173" s="7">
        <v>0</v>
      </c>
      <c r="I173" s="10">
        <v>1</v>
      </c>
      <c r="J173" s="7">
        <v>0</v>
      </c>
      <c r="K173" s="7">
        <v>0</v>
      </c>
      <c r="L173" s="7">
        <v>0</v>
      </c>
      <c r="M173" s="7"/>
      <c r="N173" s="7" t="s">
        <v>3208</v>
      </c>
    </row>
    <row r="174" spans="1:14" x14ac:dyDescent="0.25">
      <c r="A174" s="7" t="s">
        <v>1477</v>
      </c>
      <c r="B174" s="7" t="s">
        <v>1488</v>
      </c>
      <c r="C174" s="7" t="s">
        <v>3209</v>
      </c>
      <c r="D174" s="7" t="s">
        <v>2862</v>
      </c>
      <c r="E174" s="9">
        <v>4</v>
      </c>
      <c r="F174" s="7">
        <v>0</v>
      </c>
      <c r="G174" s="7">
        <v>0</v>
      </c>
      <c r="H174" s="7">
        <v>0</v>
      </c>
      <c r="I174" s="7">
        <v>0</v>
      </c>
      <c r="J174" s="7">
        <v>0</v>
      </c>
      <c r="K174" s="7">
        <v>0</v>
      </c>
      <c r="L174" s="7">
        <v>0</v>
      </c>
      <c r="M174" s="7"/>
      <c r="N174" s="7" t="s">
        <v>3210</v>
      </c>
    </row>
    <row r="175" spans="1:14" x14ac:dyDescent="0.25">
      <c r="A175" s="7" t="s">
        <v>1477</v>
      </c>
      <c r="B175" s="7" t="s">
        <v>1507</v>
      </c>
      <c r="C175" s="7" t="s">
        <v>3211</v>
      </c>
      <c r="D175" s="7" t="s">
        <v>3066</v>
      </c>
      <c r="E175" s="9">
        <v>5</v>
      </c>
      <c r="F175" s="7">
        <v>0</v>
      </c>
      <c r="G175" s="7">
        <v>0</v>
      </c>
      <c r="H175" s="7">
        <v>0</v>
      </c>
      <c r="I175" s="7">
        <v>0</v>
      </c>
      <c r="J175" s="7">
        <v>0</v>
      </c>
      <c r="K175" s="7">
        <v>0</v>
      </c>
      <c r="L175" s="7">
        <v>0</v>
      </c>
      <c r="M175" s="7"/>
      <c r="N175" s="7" t="s">
        <v>3212</v>
      </c>
    </row>
    <row r="176" spans="1:14" x14ac:dyDescent="0.25">
      <c r="A176" s="7" t="s">
        <v>1477</v>
      </c>
      <c r="B176" s="7" t="s">
        <v>1518</v>
      </c>
      <c r="C176" s="7" t="s">
        <v>3213</v>
      </c>
      <c r="D176" s="7" t="s">
        <v>2862</v>
      </c>
      <c r="E176" s="9">
        <v>1</v>
      </c>
      <c r="F176" s="7">
        <v>0</v>
      </c>
      <c r="G176" s="7">
        <v>0</v>
      </c>
      <c r="H176" s="7">
        <v>0</v>
      </c>
      <c r="I176" s="10">
        <v>1</v>
      </c>
      <c r="J176" s="11">
        <v>2</v>
      </c>
      <c r="K176" s="7">
        <v>0</v>
      </c>
      <c r="L176" s="7">
        <v>0</v>
      </c>
      <c r="M176" s="7"/>
      <c r="N176" s="7" t="s">
        <v>3214</v>
      </c>
    </row>
    <row r="177" spans="1:14" ht="25.5" x14ac:dyDescent="0.25">
      <c r="A177" s="7" t="s">
        <v>1477</v>
      </c>
      <c r="B177" s="7" t="s">
        <v>1529</v>
      </c>
      <c r="C177" s="7" t="s">
        <v>3215</v>
      </c>
      <c r="D177" s="7" t="s">
        <v>970</v>
      </c>
      <c r="E177" s="9">
        <v>4</v>
      </c>
      <c r="F177" s="12">
        <v>1</v>
      </c>
      <c r="G177" s="7">
        <v>0</v>
      </c>
      <c r="H177" s="7">
        <v>0</v>
      </c>
      <c r="I177" s="10">
        <v>3</v>
      </c>
      <c r="J177" s="7">
        <v>0</v>
      </c>
      <c r="K177" s="7">
        <v>0</v>
      </c>
      <c r="L177" s="7">
        <v>0</v>
      </c>
      <c r="M177" s="7"/>
      <c r="N177" s="7" t="s">
        <v>3216</v>
      </c>
    </row>
    <row r="178" spans="1:14" x14ac:dyDescent="0.25">
      <c r="A178" s="7" t="s">
        <v>1477</v>
      </c>
      <c r="B178" s="7" t="s">
        <v>3217</v>
      </c>
      <c r="C178" s="7" t="s">
        <v>3218</v>
      </c>
      <c r="D178" s="7" t="s">
        <v>2862</v>
      </c>
      <c r="E178" s="7"/>
      <c r="F178" s="7"/>
      <c r="G178" s="7"/>
      <c r="H178" s="7"/>
      <c r="I178" s="7"/>
      <c r="J178" s="7"/>
      <c r="K178" s="7"/>
      <c r="L178" s="7"/>
      <c r="M178" s="7"/>
      <c r="N178" s="7"/>
    </row>
    <row r="179" spans="1:14" ht="25.5" x14ac:dyDescent="0.25">
      <c r="A179" s="7" t="s">
        <v>1477</v>
      </c>
      <c r="B179" s="7" t="s">
        <v>1552</v>
      </c>
      <c r="C179" s="7" t="s">
        <v>3219</v>
      </c>
      <c r="D179" s="7" t="s">
        <v>2862</v>
      </c>
      <c r="E179" s="9">
        <v>4</v>
      </c>
      <c r="F179" s="7">
        <v>0</v>
      </c>
      <c r="G179" s="7">
        <v>0</v>
      </c>
      <c r="H179" s="7">
        <v>0</v>
      </c>
      <c r="I179" s="10">
        <v>2</v>
      </c>
      <c r="J179" s="7">
        <v>0</v>
      </c>
      <c r="K179" s="7">
        <v>0</v>
      </c>
      <c r="L179" s="7">
        <v>0</v>
      </c>
      <c r="M179" s="7"/>
      <c r="N179" s="7" t="s">
        <v>3220</v>
      </c>
    </row>
    <row r="180" spans="1:14" x14ac:dyDescent="0.25">
      <c r="A180" s="7" t="s">
        <v>1477</v>
      </c>
      <c r="B180" s="7" t="s">
        <v>1568</v>
      </c>
      <c r="C180" s="7" t="s">
        <v>3221</v>
      </c>
      <c r="D180" s="7" t="s">
        <v>2862</v>
      </c>
      <c r="E180" s="9">
        <v>1</v>
      </c>
      <c r="F180" s="7">
        <v>0</v>
      </c>
      <c r="G180" s="7">
        <v>0</v>
      </c>
      <c r="H180" s="13">
        <v>1</v>
      </c>
      <c r="I180" s="10">
        <v>1</v>
      </c>
      <c r="J180" s="7">
        <v>0</v>
      </c>
      <c r="K180" s="7">
        <v>0</v>
      </c>
      <c r="L180" s="7">
        <v>0</v>
      </c>
      <c r="M180" s="7"/>
      <c r="N180" s="7" t="s">
        <v>3222</v>
      </c>
    </row>
    <row r="181" spans="1:14" ht="25.5" x14ac:dyDescent="0.25">
      <c r="A181" s="7" t="s">
        <v>1477</v>
      </c>
      <c r="B181" s="7" t="s">
        <v>1576</v>
      </c>
      <c r="C181" s="7" t="s">
        <v>3223</v>
      </c>
      <c r="D181" s="7" t="s">
        <v>2862</v>
      </c>
      <c r="E181" s="9">
        <v>6</v>
      </c>
      <c r="F181" s="7">
        <v>0</v>
      </c>
      <c r="G181" s="7">
        <v>0</v>
      </c>
      <c r="H181" s="7">
        <v>0</v>
      </c>
      <c r="I181" s="7">
        <v>0</v>
      </c>
      <c r="J181" s="7">
        <v>0</v>
      </c>
      <c r="K181" s="7">
        <v>0</v>
      </c>
      <c r="L181" s="7">
        <v>0</v>
      </c>
      <c r="M181" s="7"/>
      <c r="N181" s="7" t="s">
        <v>3224</v>
      </c>
    </row>
    <row r="182" spans="1:14" x14ac:dyDescent="0.25">
      <c r="A182" s="7" t="s">
        <v>1594</v>
      </c>
      <c r="B182" s="7" t="s">
        <v>1595</v>
      </c>
      <c r="C182" s="7" t="s">
        <v>3225</v>
      </c>
      <c r="D182" s="7" t="s">
        <v>2862</v>
      </c>
      <c r="E182" s="9">
        <v>4</v>
      </c>
      <c r="F182" s="7">
        <v>0</v>
      </c>
      <c r="G182" s="7">
        <v>0</v>
      </c>
      <c r="H182" s="7">
        <v>0</v>
      </c>
      <c r="I182" s="7">
        <v>0</v>
      </c>
      <c r="J182" s="7">
        <v>0</v>
      </c>
      <c r="K182" s="7">
        <v>0</v>
      </c>
      <c r="L182" s="7">
        <v>0</v>
      </c>
      <c r="M182" s="7"/>
      <c r="N182" s="7" t="s">
        <v>3226</v>
      </c>
    </row>
    <row r="183" spans="1:14" ht="25.5" x14ac:dyDescent="0.25">
      <c r="A183" s="7" t="s">
        <v>1594</v>
      </c>
      <c r="B183" s="7" t="s">
        <v>1608</v>
      </c>
      <c r="C183" s="7" t="s">
        <v>3227</v>
      </c>
      <c r="D183" s="7" t="s">
        <v>2862</v>
      </c>
      <c r="E183" s="9">
        <v>1</v>
      </c>
      <c r="F183" s="7">
        <v>0</v>
      </c>
      <c r="G183" s="7">
        <v>0</v>
      </c>
      <c r="H183" s="7">
        <v>0</v>
      </c>
      <c r="I183" s="10">
        <v>1</v>
      </c>
      <c r="J183" s="7">
        <v>0</v>
      </c>
      <c r="K183" s="7">
        <v>0</v>
      </c>
      <c r="L183" s="7">
        <v>0</v>
      </c>
      <c r="M183" s="7"/>
      <c r="N183" s="7" t="s">
        <v>3228</v>
      </c>
    </row>
    <row r="184" spans="1:14" ht="25.5" x14ac:dyDescent="0.25">
      <c r="A184" s="7" t="s">
        <v>1594</v>
      </c>
      <c r="B184" s="7" t="s">
        <v>1617</v>
      </c>
      <c r="C184" s="7" t="s">
        <v>3229</v>
      </c>
      <c r="D184" s="7" t="s">
        <v>970</v>
      </c>
      <c r="E184" s="7">
        <v>0</v>
      </c>
      <c r="F184" s="7">
        <v>0</v>
      </c>
      <c r="G184" s="7">
        <v>0</v>
      </c>
      <c r="H184" s="7">
        <v>0</v>
      </c>
      <c r="I184" s="10">
        <v>4</v>
      </c>
      <c r="J184" s="7">
        <v>0</v>
      </c>
      <c r="K184" s="7">
        <v>0</v>
      </c>
      <c r="L184" s="7">
        <v>0</v>
      </c>
      <c r="M184" s="7"/>
      <c r="N184" s="7" t="s">
        <v>3230</v>
      </c>
    </row>
    <row r="185" spans="1:14" x14ac:dyDescent="0.25">
      <c r="A185" s="7" t="s">
        <v>1594</v>
      </c>
      <c r="B185" s="7" t="s">
        <v>1631</v>
      </c>
      <c r="C185" s="7" t="s">
        <v>3231</v>
      </c>
      <c r="D185" s="7" t="s">
        <v>2862</v>
      </c>
      <c r="E185" s="9">
        <v>3</v>
      </c>
      <c r="F185" s="7">
        <v>0</v>
      </c>
      <c r="G185" s="7">
        <v>0</v>
      </c>
      <c r="H185" s="7">
        <v>0</v>
      </c>
      <c r="I185" s="10">
        <v>2</v>
      </c>
      <c r="J185" s="7">
        <v>0</v>
      </c>
      <c r="K185" s="7">
        <v>0</v>
      </c>
      <c r="L185" s="7">
        <v>0</v>
      </c>
      <c r="M185" s="7"/>
      <c r="N185" s="7" t="s">
        <v>3232</v>
      </c>
    </row>
    <row r="186" spans="1:14" x14ac:dyDescent="0.25">
      <c r="A186" s="7" t="s">
        <v>1594</v>
      </c>
      <c r="B186" s="7" t="s">
        <v>1648</v>
      </c>
      <c r="C186" s="7" t="s">
        <v>3233</v>
      </c>
      <c r="D186" s="7" t="s">
        <v>2862</v>
      </c>
      <c r="E186" s="9">
        <v>2</v>
      </c>
      <c r="F186" s="7">
        <v>0</v>
      </c>
      <c r="G186" s="7">
        <v>0</v>
      </c>
      <c r="H186" s="7">
        <v>0</v>
      </c>
      <c r="I186" s="7">
        <v>0</v>
      </c>
      <c r="J186" s="7">
        <v>0</v>
      </c>
      <c r="K186" s="7">
        <v>0</v>
      </c>
      <c r="L186" s="7">
        <v>0</v>
      </c>
      <c r="M186" s="7"/>
      <c r="N186" s="7" t="s">
        <v>3234</v>
      </c>
    </row>
    <row r="187" spans="1:14" ht="25.5" x14ac:dyDescent="0.25">
      <c r="A187" s="7" t="s">
        <v>1594</v>
      </c>
      <c r="B187" s="7" t="s">
        <v>1655</v>
      </c>
      <c r="C187" s="7" t="s">
        <v>3235</v>
      </c>
      <c r="D187" s="7" t="s">
        <v>970</v>
      </c>
      <c r="E187" s="7">
        <v>0</v>
      </c>
      <c r="F187" s="7">
        <v>0</v>
      </c>
      <c r="G187" s="7">
        <v>0</v>
      </c>
      <c r="H187" s="7">
        <v>0</v>
      </c>
      <c r="I187" s="10">
        <v>1</v>
      </c>
      <c r="J187" s="7">
        <v>0</v>
      </c>
      <c r="K187" s="7">
        <v>0</v>
      </c>
      <c r="L187" s="7">
        <v>0</v>
      </c>
      <c r="M187" s="7"/>
      <c r="N187" s="7" t="s">
        <v>3236</v>
      </c>
    </row>
    <row r="188" spans="1:14" x14ac:dyDescent="0.25">
      <c r="A188" s="7" t="s">
        <v>1594</v>
      </c>
      <c r="B188" s="7" t="s">
        <v>1658</v>
      </c>
      <c r="C188" s="7" t="s">
        <v>3237</v>
      </c>
      <c r="D188" s="7" t="s">
        <v>2862</v>
      </c>
      <c r="E188" s="9">
        <v>5</v>
      </c>
      <c r="F188" s="7">
        <v>0</v>
      </c>
      <c r="G188" s="7">
        <v>0</v>
      </c>
      <c r="H188" s="7">
        <v>0</v>
      </c>
      <c r="I188" s="10">
        <v>1</v>
      </c>
      <c r="J188" s="7">
        <v>0</v>
      </c>
      <c r="K188" s="7">
        <v>0</v>
      </c>
      <c r="L188" s="7">
        <v>0</v>
      </c>
      <c r="M188" s="7"/>
      <c r="N188" s="7" t="s">
        <v>3238</v>
      </c>
    </row>
    <row r="189" spans="1:14" x14ac:dyDescent="0.25">
      <c r="A189" s="7" t="s">
        <v>1594</v>
      </c>
      <c r="B189" s="7" t="s">
        <v>1678</v>
      </c>
      <c r="C189" s="7" t="s">
        <v>3239</v>
      </c>
      <c r="D189" s="7" t="s">
        <v>2862</v>
      </c>
      <c r="E189" s="9">
        <v>4</v>
      </c>
      <c r="F189" s="7">
        <v>0</v>
      </c>
      <c r="G189" s="7">
        <v>0</v>
      </c>
      <c r="H189" s="13">
        <v>1</v>
      </c>
      <c r="I189" s="7">
        <v>0</v>
      </c>
      <c r="J189" s="7">
        <v>0</v>
      </c>
      <c r="K189" s="7">
        <v>0</v>
      </c>
      <c r="L189" s="7">
        <v>0</v>
      </c>
      <c r="M189" s="7"/>
      <c r="N189" s="7" t="s">
        <v>3240</v>
      </c>
    </row>
    <row r="190" spans="1:14" x14ac:dyDescent="0.25">
      <c r="A190" s="7" t="s">
        <v>1594</v>
      </c>
      <c r="B190" s="7" t="s">
        <v>1691</v>
      </c>
      <c r="C190" s="7" t="s">
        <v>3241</v>
      </c>
      <c r="D190" s="7" t="s">
        <v>2862</v>
      </c>
      <c r="E190" s="9">
        <v>2</v>
      </c>
      <c r="F190" s="7">
        <v>0</v>
      </c>
      <c r="G190" s="7">
        <v>0</v>
      </c>
      <c r="H190" s="7">
        <v>0</v>
      </c>
      <c r="I190" s="7">
        <v>0</v>
      </c>
      <c r="J190" s="7">
        <v>0</v>
      </c>
      <c r="K190" s="7">
        <v>0</v>
      </c>
      <c r="L190" s="7">
        <v>0</v>
      </c>
      <c r="M190" s="7"/>
      <c r="N190" s="7" t="s">
        <v>3242</v>
      </c>
    </row>
    <row r="191" spans="1:14" x14ac:dyDescent="0.25">
      <c r="A191" s="7" t="s">
        <v>1594</v>
      </c>
      <c r="B191" s="7" t="s">
        <v>1697</v>
      </c>
      <c r="C191" s="7" t="s">
        <v>3243</v>
      </c>
      <c r="D191" s="7" t="s">
        <v>2862</v>
      </c>
      <c r="E191" s="9">
        <v>3</v>
      </c>
      <c r="F191" s="7">
        <v>0</v>
      </c>
      <c r="G191" s="7">
        <v>0</v>
      </c>
      <c r="H191" s="13">
        <v>1</v>
      </c>
      <c r="I191" s="7">
        <v>0</v>
      </c>
      <c r="J191" s="7">
        <v>0</v>
      </c>
      <c r="K191" s="7">
        <v>0</v>
      </c>
      <c r="L191" s="7">
        <v>0</v>
      </c>
      <c r="M191" s="7"/>
      <c r="N191" s="7" t="s">
        <v>3244</v>
      </c>
    </row>
    <row r="192" spans="1:14" x14ac:dyDescent="0.25">
      <c r="A192" s="7" t="s">
        <v>1594</v>
      </c>
      <c r="B192" s="7" t="s">
        <v>1711</v>
      </c>
      <c r="C192" s="7" t="s">
        <v>3245</v>
      </c>
      <c r="D192" s="7" t="s">
        <v>2862</v>
      </c>
      <c r="E192" s="7">
        <v>0</v>
      </c>
      <c r="F192" s="7">
        <v>0</v>
      </c>
      <c r="G192" s="7">
        <v>0</v>
      </c>
      <c r="H192" s="13">
        <v>1</v>
      </c>
      <c r="I192" s="7">
        <v>0</v>
      </c>
      <c r="J192" s="7">
        <v>0</v>
      </c>
      <c r="K192" s="7">
        <v>0</v>
      </c>
      <c r="L192" s="7">
        <v>0</v>
      </c>
      <c r="M192" s="7"/>
      <c r="N192" s="7" t="s">
        <v>3246</v>
      </c>
    </row>
    <row r="193" spans="1:14" x14ac:dyDescent="0.25">
      <c r="A193" s="7" t="s">
        <v>1594</v>
      </c>
      <c r="B193" s="7" t="s">
        <v>1717</v>
      </c>
      <c r="C193" s="7" t="s">
        <v>3247</v>
      </c>
      <c r="D193" s="7" t="s">
        <v>2862</v>
      </c>
      <c r="E193" s="9">
        <v>3</v>
      </c>
      <c r="F193" s="7">
        <v>0</v>
      </c>
      <c r="G193" s="7">
        <v>0</v>
      </c>
      <c r="H193" s="7">
        <v>0</v>
      </c>
      <c r="I193" s="7">
        <v>0</v>
      </c>
      <c r="J193" s="7">
        <v>0</v>
      </c>
      <c r="K193" s="7">
        <v>0</v>
      </c>
      <c r="L193" s="7">
        <v>0</v>
      </c>
      <c r="M193" s="7"/>
      <c r="N193" s="7" t="s">
        <v>3248</v>
      </c>
    </row>
    <row r="194" spans="1:14" x14ac:dyDescent="0.25">
      <c r="A194" s="7" t="s">
        <v>1594</v>
      </c>
      <c r="B194" s="7" t="s">
        <v>1727</v>
      </c>
      <c r="C194" s="7" t="s">
        <v>3249</v>
      </c>
      <c r="D194" s="7" t="s">
        <v>2862</v>
      </c>
      <c r="E194" s="9">
        <v>2</v>
      </c>
      <c r="F194" s="7">
        <v>0</v>
      </c>
      <c r="G194" s="7">
        <v>0</v>
      </c>
      <c r="H194" s="13">
        <v>1</v>
      </c>
      <c r="I194" s="10">
        <v>1</v>
      </c>
      <c r="J194" s="7">
        <v>0</v>
      </c>
      <c r="K194" s="7">
        <v>0</v>
      </c>
      <c r="L194" s="7">
        <v>0</v>
      </c>
      <c r="M194" s="7"/>
      <c r="N194" s="7" t="s">
        <v>3250</v>
      </c>
    </row>
    <row r="195" spans="1:14" x14ac:dyDescent="0.25">
      <c r="A195" s="7" t="s">
        <v>1594</v>
      </c>
      <c r="B195" s="7" t="s">
        <v>1740</v>
      </c>
      <c r="C195" s="7" t="s">
        <v>3251</v>
      </c>
      <c r="D195" s="7" t="s">
        <v>2862</v>
      </c>
      <c r="E195" s="9">
        <v>2</v>
      </c>
      <c r="F195" s="7">
        <v>0</v>
      </c>
      <c r="G195" s="7">
        <v>0</v>
      </c>
      <c r="H195" s="7">
        <v>0</v>
      </c>
      <c r="I195" s="7">
        <v>0</v>
      </c>
      <c r="J195" s="7">
        <v>0</v>
      </c>
      <c r="K195" s="7">
        <v>0</v>
      </c>
      <c r="L195" s="7">
        <v>0</v>
      </c>
      <c r="M195" s="7"/>
      <c r="N195" s="7" t="s">
        <v>3252</v>
      </c>
    </row>
    <row r="196" spans="1:14" ht="25.5" x14ac:dyDescent="0.25">
      <c r="A196" s="7" t="s">
        <v>1594</v>
      </c>
      <c r="B196" s="7" t="s">
        <v>1748</v>
      </c>
      <c r="C196" s="7" t="s">
        <v>3253</v>
      </c>
      <c r="D196" s="7" t="s">
        <v>2862</v>
      </c>
      <c r="E196" s="9">
        <v>1</v>
      </c>
      <c r="F196" s="7">
        <v>0</v>
      </c>
      <c r="G196" s="7">
        <v>0</v>
      </c>
      <c r="H196" s="7">
        <v>0</v>
      </c>
      <c r="I196" s="7">
        <v>0</v>
      </c>
      <c r="J196" s="7">
        <v>0</v>
      </c>
      <c r="K196" s="7">
        <v>0</v>
      </c>
      <c r="L196" s="7">
        <v>0</v>
      </c>
      <c r="M196" s="7"/>
      <c r="N196" s="7" t="s">
        <v>3254</v>
      </c>
    </row>
    <row r="197" spans="1:14" ht="25.5" x14ac:dyDescent="0.25">
      <c r="A197" s="7" t="s">
        <v>1594</v>
      </c>
      <c r="B197" s="7" t="s">
        <v>1752</v>
      </c>
      <c r="C197" s="7" t="s">
        <v>3255</v>
      </c>
      <c r="D197" s="7" t="s">
        <v>970</v>
      </c>
      <c r="E197" s="7">
        <v>0</v>
      </c>
      <c r="F197" s="7">
        <v>0</v>
      </c>
      <c r="G197" s="7">
        <v>0</v>
      </c>
      <c r="H197" s="7">
        <v>0</v>
      </c>
      <c r="I197" s="10">
        <v>6</v>
      </c>
      <c r="J197" s="7">
        <v>0</v>
      </c>
      <c r="K197" s="7">
        <v>0</v>
      </c>
      <c r="L197" s="7">
        <v>0</v>
      </c>
      <c r="M197" s="7"/>
      <c r="N197" s="7" t="s">
        <v>3256</v>
      </c>
    </row>
    <row r="198" spans="1:14" ht="25.5" x14ac:dyDescent="0.25">
      <c r="A198" s="7" t="s">
        <v>1594</v>
      </c>
      <c r="B198" s="7" t="s">
        <v>1767</v>
      </c>
      <c r="C198" s="7" t="s">
        <v>3257</v>
      </c>
      <c r="D198" s="7" t="s">
        <v>2862</v>
      </c>
      <c r="E198" s="9">
        <v>2</v>
      </c>
      <c r="F198" s="7">
        <v>0</v>
      </c>
      <c r="G198" s="7">
        <v>0</v>
      </c>
      <c r="H198" s="7">
        <v>0</v>
      </c>
      <c r="I198" s="7">
        <v>0</v>
      </c>
      <c r="J198" s="7">
        <v>0</v>
      </c>
      <c r="K198" s="7">
        <v>0</v>
      </c>
      <c r="L198" s="7">
        <v>0</v>
      </c>
      <c r="M198" s="7"/>
      <c r="N198" s="7" t="s">
        <v>3258</v>
      </c>
    </row>
    <row r="199" spans="1:14" x14ac:dyDescent="0.25">
      <c r="A199" s="7" t="s">
        <v>1775</v>
      </c>
      <c r="B199" s="7" t="s">
        <v>1776</v>
      </c>
      <c r="C199" s="7" t="s">
        <v>3259</v>
      </c>
      <c r="D199" s="7" t="s">
        <v>2862</v>
      </c>
      <c r="E199" s="9">
        <v>2</v>
      </c>
      <c r="F199" s="7">
        <v>0</v>
      </c>
      <c r="G199" s="7">
        <v>0</v>
      </c>
      <c r="H199" s="7">
        <v>0</v>
      </c>
      <c r="I199" s="7">
        <v>0</v>
      </c>
      <c r="J199" s="7">
        <v>0</v>
      </c>
      <c r="K199" s="7">
        <v>0</v>
      </c>
      <c r="L199" s="7">
        <v>0</v>
      </c>
      <c r="M199" s="7"/>
      <c r="N199" s="7" t="s">
        <v>3260</v>
      </c>
    </row>
    <row r="200" spans="1:14" x14ac:dyDescent="0.25">
      <c r="A200" s="7" t="s">
        <v>1775</v>
      </c>
      <c r="B200" s="7" t="s">
        <v>1785</v>
      </c>
      <c r="C200" s="7" t="s">
        <v>3261</v>
      </c>
      <c r="D200" s="7" t="s">
        <v>2862</v>
      </c>
      <c r="E200" s="9">
        <v>2</v>
      </c>
      <c r="F200" s="7">
        <v>0</v>
      </c>
      <c r="G200" s="7">
        <v>0</v>
      </c>
      <c r="H200" s="13">
        <v>1</v>
      </c>
      <c r="I200" s="7">
        <v>0</v>
      </c>
      <c r="J200" s="7">
        <v>0</v>
      </c>
      <c r="K200" s="7">
        <v>0</v>
      </c>
      <c r="L200" s="7">
        <v>0</v>
      </c>
      <c r="M200" s="7"/>
      <c r="N200" s="7" t="s">
        <v>3262</v>
      </c>
    </row>
    <row r="201" spans="1:14" x14ac:dyDescent="0.25">
      <c r="A201" s="7" t="s">
        <v>1775</v>
      </c>
      <c r="B201" s="7" t="s">
        <v>1793</v>
      </c>
      <c r="C201" s="7" t="s">
        <v>3263</v>
      </c>
      <c r="D201" s="7" t="s">
        <v>2862</v>
      </c>
      <c r="E201" s="9">
        <v>3</v>
      </c>
      <c r="F201" s="7">
        <v>0</v>
      </c>
      <c r="G201" s="7">
        <v>0</v>
      </c>
      <c r="H201" s="7">
        <v>0</v>
      </c>
      <c r="I201" s="7">
        <v>0</v>
      </c>
      <c r="J201" s="7">
        <v>0</v>
      </c>
      <c r="K201" s="7">
        <v>0</v>
      </c>
      <c r="L201" s="7">
        <v>0</v>
      </c>
      <c r="M201" s="7"/>
      <c r="N201" s="7" t="s">
        <v>3264</v>
      </c>
    </row>
    <row r="202" spans="1:14" x14ac:dyDescent="0.25">
      <c r="A202" s="7" t="s">
        <v>1775</v>
      </c>
      <c r="B202" s="7" t="s">
        <v>1805</v>
      </c>
      <c r="C202" s="7" t="s">
        <v>3265</v>
      </c>
      <c r="D202" s="7" t="s">
        <v>2862</v>
      </c>
      <c r="E202" s="9">
        <v>2</v>
      </c>
      <c r="F202" s="7">
        <v>0</v>
      </c>
      <c r="G202" s="7">
        <v>0</v>
      </c>
      <c r="H202" s="7">
        <v>0</v>
      </c>
      <c r="I202" s="7">
        <v>0</v>
      </c>
      <c r="J202" s="7">
        <v>0</v>
      </c>
      <c r="K202" s="7">
        <v>0</v>
      </c>
      <c r="L202" s="7">
        <v>0</v>
      </c>
      <c r="M202" s="7"/>
      <c r="N202" s="7" t="s">
        <v>3266</v>
      </c>
    </row>
    <row r="203" spans="1:14" x14ac:dyDescent="0.25">
      <c r="A203" s="7" t="s">
        <v>1775</v>
      </c>
      <c r="B203" s="7" t="s">
        <v>1812</v>
      </c>
      <c r="C203" s="7" t="s">
        <v>3267</v>
      </c>
      <c r="D203" s="7" t="s">
        <v>2862</v>
      </c>
      <c r="E203" s="9">
        <v>3</v>
      </c>
      <c r="F203" s="7">
        <v>0</v>
      </c>
      <c r="G203" s="7">
        <v>0</v>
      </c>
      <c r="H203" s="7">
        <v>0</v>
      </c>
      <c r="I203" s="7">
        <v>0</v>
      </c>
      <c r="J203" s="7">
        <v>0</v>
      </c>
      <c r="K203" s="7">
        <v>0</v>
      </c>
      <c r="L203" s="7">
        <v>0</v>
      </c>
      <c r="M203" s="7"/>
      <c r="N203" s="7" t="s">
        <v>3268</v>
      </c>
    </row>
    <row r="204" spans="1:14" x14ac:dyDescent="0.25">
      <c r="A204" s="7" t="s">
        <v>1775</v>
      </c>
      <c r="B204" s="7" t="s">
        <v>1821</v>
      </c>
      <c r="C204" s="7" t="s">
        <v>3269</v>
      </c>
      <c r="D204" s="7" t="s">
        <v>2862</v>
      </c>
      <c r="E204" s="9">
        <v>1</v>
      </c>
      <c r="F204" s="7">
        <v>0</v>
      </c>
      <c r="G204" s="7">
        <v>0</v>
      </c>
      <c r="H204" s="7">
        <v>0</v>
      </c>
      <c r="I204" s="7">
        <v>0</v>
      </c>
      <c r="J204" s="7">
        <v>0</v>
      </c>
      <c r="K204" s="7">
        <v>0</v>
      </c>
      <c r="L204" s="7">
        <v>0</v>
      </c>
      <c r="M204" s="7"/>
      <c r="N204" s="7" t="s">
        <v>3270</v>
      </c>
    </row>
    <row r="205" spans="1:14" ht="25.5" x14ac:dyDescent="0.25">
      <c r="A205" s="7" t="s">
        <v>1775</v>
      </c>
      <c r="B205" s="7" t="s">
        <v>1825</v>
      </c>
      <c r="C205" s="7" t="s">
        <v>3271</v>
      </c>
      <c r="D205" s="7" t="s">
        <v>970</v>
      </c>
      <c r="E205" s="7">
        <v>0</v>
      </c>
      <c r="F205" s="7">
        <v>0</v>
      </c>
      <c r="G205" s="7">
        <v>0</v>
      </c>
      <c r="H205" s="7">
        <v>0</v>
      </c>
      <c r="I205" s="10">
        <v>1</v>
      </c>
      <c r="J205" s="7">
        <v>0</v>
      </c>
      <c r="K205" s="7">
        <v>0</v>
      </c>
      <c r="L205" s="7">
        <v>0</v>
      </c>
      <c r="M205" s="7"/>
      <c r="N205" s="7" t="s">
        <v>3272</v>
      </c>
    </row>
    <row r="206" spans="1:14" ht="25.5" x14ac:dyDescent="0.25">
      <c r="A206" s="7" t="s">
        <v>1775</v>
      </c>
      <c r="B206" s="7" t="s">
        <v>1829</v>
      </c>
      <c r="C206" s="7" t="s">
        <v>3273</v>
      </c>
      <c r="D206" s="7" t="s">
        <v>970</v>
      </c>
      <c r="E206" s="7">
        <v>0</v>
      </c>
      <c r="F206" s="7">
        <v>0</v>
      </c>
      <c r="G206" s="7">
        <v>0</v>
      </c>
      <c r="H206" s="7">
        <v>0</v>
      </c>
      <c r="I206" s="10">
        <v>2</v>
      </c>
      <c r="J206" s="7">
        <v>0</v>
      </c>
      <c r="K206" s="7">
        <v>0</v>
      </c>
      <c r="L206" s="7">
        <v>0</v>
      </c>
      <c r="M206" s="7"/>
      <c r="N206" s="7" t="s">
        <v>3274</v>
      </c>
    </row>
    <row r="207" spans="1:14" x14ac:dyDescent="0.25">
      <c r="A207" s="7" t="s">
        <v>1775</v>
      </c>
      <c r="B207" s="7" t="s">
        <v>1836</v>
      </c>
      <c r="C207" s="7" t="s">
        <v>3275</v>
      </c>
      <c r="D207" s="7" t="s">
        <v>2862</v>
      </c>
      <c r="E207" s="9">
        <v>2</v>
      </c>
      <c r="F207" s="7">
        <v>0</v>
      </c>
      <c r="G207" s="7">
        <v>0</v>
      </c>
      <c r="H207" s="7">
        <v>0</v>
      </c>
      <c r="I207" s="7">
        <v>0</v>
      </c>
      <c r="J207" s="7">
        <v>0</v>
      </c>
      <c r="K207" s="7">
        <v>0</v>
      </c>
      <c r="L207" s="7">
        <v>0</v>
      </c>
      <c r="M207" s="7"/>
      <c r="N207" s="7" t="s">
        <v>3276</v>
      </c>
    </row>
    <row r="208" spans="1:14" x14ac:dyDescent="0.25">
      <c r="A208" s="7" t="s">
        <v>1775</v>
      </c>
      <c r="B208" s="7" t="s">
        <v>1843</v>
      </c>
      <c r="C208" s="7" t="s">
        <v>3277</v>
      </c>
      <c r="D208" s="7" t="s">
        <v>2862</v>
      </c>
      <c r="E208" s="9">
        <v>1</v>
      </c>
      <c r="F208" s="7">
        <v>0</v>
      </c>
      <c r="G208" s="7">
        <v>0</v>
      </c>
      <c r="H208" s="13">
        <v>1</v>
      </c>
      <c r="I208" s="7">
        <v>0</v>
      </c>
      <c r="J208" s="7">
        <v>0</v>
      </c>
      <c r="K208" s="7">
        <v>0</v>
      </c>
      <c r="L208" s="7">
        <v>0</v>
      </c>
      <c r="M208" s="7"/>
      <c r="N208" s="7" t="s">
        <v>3278</v>
      </c>
    </row>
    <row r="209" spans="1:14" x14ac:dyDescent="0.25">
      <c r="A209" s="7" t="s">
        <v>1775</v>
      </c>
      <c r="B209" s="7" t="s">
        <v>1854</v>
      </c>
      <c r="C209" s="7" t="s">
        <v>3279</v>
      </c>
      <c r="D209" s="7" t="s">
        <v>2862</v>
      </c>
      <c r="E209" s="9">
        <v>1</v>
      </c>
      <c r="F209" s="7">
        <v>0</v>
      </c>
      <c r="G209" s="7">
        <v>0</v>
      </c>
      <c r="H209" s="13">
        <v>1</v>
      </c>
      <c r="I209" s="7">
        <v>0</v>
      </c>
      <c r="J209" s="7">
        <v>0</v>
      </c>
      <c r="K209" s="7">
        <v>0</v>
      </c>
      <c r="L209" s="7">
        <v>0</v>
      </c>
      <c r="M209" s="7"/>
      <c r="N209" s="7" t="s">
        <v>3280</v>
      </c>
    </row>
    <row r="210" spans="1:14" ht="25.5" x14ac:dyDescent="0.25">
      <c r="A210" s="7" t="s">
        <v>1861</v>
      </c>
      <c r="B210" s="7" t="s">
        <v>1863</v>
      </c>
      <c r="C210" s="7" t="s">
        <v>3281</v>
      </c>
      <c r="D210" s="7" t="s">
        <v>2862</v>
      </c>
      <c r="E210" s="9">
        <v>4</v>
      </c>
      <c r="F210" s="7">
        <v>0</v>
      </c>
      <c r="G210" s="7">
        <v>0</v>
      </c>
      <c r="H210" s="7">
        <v>0</v>
      </c>
      <c r="I210" s="7">
        <v>0</v>
      </c>
      <c r="J210" s="7">
        <v>0</v>
      </c>
      <c r="K210" s="7">
        <v>0</v>
      </c>
      <c r="L210" s="7">
        <v>0</v>
      </c>
      <c r="M210" s="7"/>
      <c r="N210" s="7" t="s">
        <v>3282</v>
      </c>
    </row>
    <row r="211" spans="1:14" ht="25.5" x14ac:dyDescent="0.25">
      <c r="A211" s="7" t="s">
        <v>1861</v>
      </c>
      <c r="B211" s="7" t="s">
        <v>1882</v>
      </c>
      <c r="C211" s="7" t="s">
        <v>3283</v>
      </c>
      <c r="D211" s="7" t="s">
        <v>2862</v>
      </c>
      <c r="E211" s="9">
        <v>4</v>
      </c>
      <c r="F211" s="7">
        <v>0</v>
      </c>
      <c r="G211" s="7">
        <v>0</v>
      </c>
      <c r="H211" s="7">
        <v>0</v>
      </c>
      <c r="I211" s="10">
        <v>1</v>
      </c>
      <c r="J211" s="7">
        <v>0</v>
      </c>
      <c r="K211" s="7">
        <v>0</v>
      </c>
      <c r="L211" s="7">
        <v>0</v>
      </c>
      <c r="M211" s="7"/>
      <c r="N211" s="7" t="s">
        <v>3284</v>
      </c>
    </row>
    <row r="212" spans="1:14" ht="25.5" x14ac:dyDescent="0.25">
      <c r="A212" s="7" t="s">
        <v>1902</v>
      </c>
      <c r="B212" s="7" t="s">
        <v>1903</v>
      </c>
      <c r="C212" s="7" t="s">
        <v>3285</v>
      </c>
      <c r="D212" s="7" t="s">
        <v>3066</v>
      </c>
      <c r="E212" s="9">
        <v>1</v>
      </c>
      <c r="F212" s="7">
        <v>0</v>
      </c>
      <c r="G212" s="7">
        <v>0</v>
      </c>
      <c r="H212" s="7">
        <v>0</v>
      </c>
      <c r="I212" s="7">
        <v>0</v>
      </c>
      <c r="J212" s="7">
        <v>0</v>
      </c>
      <c r="K212" s="7">
        <v>0</v>
      </c>
      <c r="L212" s="7">
        <v>0</v>
      </c>
      <c r="M212" s="7"/>
      <c r="N212" s="7" t="s">
        <v>3286</v>
      </c>
    </row>
    <row r="213" spans="1:14" ht="25.5" x14ac:dyDescent="0.25">
      <c r="A213" s="7" t="s">
        <v>1902</v>
      </c>
      <c r="B213" s="7" t="s">
        <v>1909</v>
      </c>
      <c r="C213" s="7" t="s">
        <v>3285</v>
      </c>
      <c r="D213" s="7" t="s">
        <v>3066</v>
      </c>
      <c r="E213" s="9">
        <v>4</v>
      </c>
      <c r="F213" s="7">
        <v>0</v>
      </c>
      <c r="G213" s="7">
        <v>0</v>
      </c>
      <c r="H213" s="7">
        <v>0</v>
      </c>
      <c r="I213" s="10">
        <v>1</v>
      </c>
      <c r="J213" s="7">
        <v>0</v>
      </c>
      <c r="K213" s="7">
        <v>0</v>
      </c>
      <c r="L213" s="7">
        <v>0</v>
      </c>
      <c r="M213" s="7"/>
      <c r="N213" s="7" t="s">
        <v>3287</v>
      </c>
    </row>
    <row r="214" spans="1:14" x14ac:dyDescent="0.25">
      <c r="A214" s="7" t="s">
        <v>1902</v>
      </c>
      <c r="B214" s="7" t="s">
        <v>1922</v>
      </c>
      <c r="C214" s="7" t="s">
        <v>3288</v>
      </c>
      <c r="D214" s="7" t="s">
        <v>3066</v>
      </c>
      <c r="E214" s="9">
        <v>3</v>
      </c>
      <c r="F214" s="12">
        <v>1</v>
      </c>
      <c r="G214" s="7">
        <v>0</v>
      </c>
      <c r="H214" s="7">
        <v>0</v>
      </c>
      <c r="I214" s="7">
        <v>0</v>
      </c>
      <c r="J214" s="7">
        <v>0</v>
      </c>
      <c r="K214" s="7">
        <v>0</v>
      </c>
      <c r="L214" s="7">
        <v>0</v>
      </c>
      <c r="M214" s="7"/>
      <c r="N214" s="7" t="s">
        <v>3289</v>
      </c>
    </row>
    <row r="215" spans="1:14" ht="25.5" x14ac:dyDescent="0.25">
      <c r="A215" s="7" t="s">
        <v>1902</v>
      </c>
      <c r="B215" s="7" t="s">
        <v>1933</v>
      </c>
      <c r="C215" s="7" t="s">
        <v>3290</v>
      </c>
      <c r="D215" s="7" t="s">
        <v>970</v>
      </c>
      <c r="E215" s="7">
        <v>0</v>
      </c>
      <c r="F215" s="7">
        <v>0</v>
      </c>
      <c r="G215" s="7">
        <v>0</v>
      </c>
      <c r="H215" s="7">
        <v>0</v>
      </c>
      <c r="I215" s="10">
        <v>6</v>
      </c>
      <c r="J215" s="7">
        <v>0</v>
      </c>
      <c r="K215" s="7">
        <v>0</v>
      </c>
      <c r="L215" s="7">
        <v>0</v>
      </c>
      <c r="M215" s="7"/>
      <c r="N215" s="7" t="s">
        <v>3291</v>
      </c>
    </row>
    <row r="216" spans="1:14" x14ac:dyDescent="0.25">
      <c r="A216" s="7" t="s">
        <v>1902</v>
      </c>
      <c r="B216" s="7" t="s">
        <v>1948</v>
      </c>
      <c r="C216" s="7" t="s">
        <v>3292</v>
      </c>
      <c r="D216" s="7" t="s">
        <v>970</v>
      </c>
      <c r="E216" s="7">
        <v>0</v>
      </c>
      <c r="F216" s="7">
        <v>0</v>
      </c>
      <c r="G216" s="7">
        <v>0</v>
      </c>
      <c r="H216" s="7">
        <v>0</v>
      </c>
      <c r="I216" s="10">
        <v>1</v>
      </c>
      <c r="J216" s="7">
        <v>0</v>
      </c>
      <c r="K216" s="7">
        <v>0</v>
      </c>
      <c r="L216" s="7">
        <v>0</v>
      </c>
      <c r="M216" s="7"/>
      <c r="N216" s="7" t="s">
        <v>3293</v>
      </c>
    </row>
    <row r="217" spans="1:14" ht="25.5" x14ac:dyDescent="0.25">
      <c r="A217" s="7" t="s">
        <v>1902</v>
      </c>
      <c r="B217" s="7" t="s">
        <v>1953</v>
      </c>
      <c r="C217" s="7" t="s">
        <v>3294</v>
      </c>
      <c r="D217" s="7" t="s">
        <v>970</v>
      </c>
      <c r="E217" s="7">
        <v>0</v>
      </c>
      <c r="F217" s="7">
        <v>0</v>
      </c>
      <c r="G217" s="7">
        <v>0</v>
      </c>
      <c r="H217" s="7">
        <v>0</v>
      </c>
      <c r="I217" s="10">
        <v>1</v>
      </c>
      <c r="J217" s="7">
        <v>0</v>
      </c>
      <c r="K217" s="7">
        <v>0</v>
      </c>
      <c r="L217" s="7">
        <v>0</v>
      </c>
      <c r="M217" s="7"/>
      <c r="N217" s="7" t="s">
        <v>3295</v>
      </c>
    </row>
    <row r="218" spans="1:14" ht="25.5" x14ac:dyDescent="0.25">
      <c r="A218" s="7" t="s">
        <v>1902</v>
      </c>
      <c r="B218" s="7" t="s">
        <v>1956</v>
      </c>
      <c r="C218" s="7" t="s">
        <v>3296</v>
      </c>
      <c r="D218" s="7" t="s">
        <v>970</v>
      </c>
      <c r="E218" s="7">
        <v>0</v>
      </c>
      <c r="F218" s="7">
        <v>0</v>
      </c>
      <c r="G218" s="7">
        <v>0</v>
      </c>
      <c r="H218" s="7">
        <v>0</v>
      </c>
      <c r="I218" s="10">
        <v>1</v>
      </c>
      <c r="J218" s="7">
        <v>0</v>
      </c>
      <c r="K218" s="7">
        <v>0</v>
      </c>
      <c r="L218" s="7">
        <v>0</v>
      </c>
      <c r="M218" s="7"/>
      <c r="N218" s="7" t="s">
        <v>3297</v>
      </c>
    </row>
    <row r="219" spans="1:14" x14ac:dyDescent="0.25">
      <c r="A219" s="7" t="s">
        <v>1902</v>
      </c>
      <c r="B219" s="7" t="s">
        <v>1959</v>
      </c>
      <c r="C219" s="7" t="s">
        <v>3298</v>
      </c>
      <c r="D219" s="7" t="s">
        <v>2862</v>
      </c>
      <c r="E219" s="9">
        <v>3</v>
      </c>
      <c r="F219" s="7">
        <v>0</v>
      </c>
      <c r="G219" s="7">
        <v>0</v>
      </c>
      <c r="H219" s="7">
        <v>0</v>
      </c>
      <c r="I219" s="7">
        <v>0</v>
      </c>
      <c r="J219" s="7">
        <v>0</v>
      </c>
      <c r="K219" s="7">
        <v>0</v>
      </c>
      <c r="L219" s="7">
        <v>0</v>
      </c>
      <c r="M219" s="7"/>
      <c r="N219" s="7" t="s">
        <v>3299</v>
      </c>
    </row>
    <row r="220" spans="1:14" x14ac:dyDescent="0.25">
      <c r="A220" s="7" t="s">
        <v>1902</v>
      </c>
      <c r="B220" s="7" t="s">
        <v>1967</v>
      </c>
      <c r="C220" s="7" t="s">
        <v>3300</v>
      </c>
      <c r="D220" s="7" t="s">
        <v>2862</v>
      </c>
      <c r="E220" s="9">
        <v>4</v>
      </c>
      <c r="F220" s="12">
        <v>1</v>
      </c>
      <c r="G220" s="7">
        <v>0</v>
      </c>
      <c r="H220" s="7">
        <v>0</v>
      </c>
      <c r="I220" s="7">
        <v>0</v>
      </c>
      <c r="J220" s="7">
        <v>0</v>
      </c>
      <c r="K220" s="7">
        <v>0</v>
      </c>
      <c r="L220" s="7">
        <v>0</v>
      </c>
      <c r="M220" s="7"/>
      <c r="N220" s="7" t="s">
        <v>3301</v>
      </c>
    </row>
    <row r="221" spans="1:14" ht="25.5" x14ac:dyDescent="0.25">
      <c r="A221" s="7" t="s">
        <v>1902</v>
      </c>
      <c r="B221" s="7" t="s">
        <v>1980</v>
      </c>
      <c r="C221" s="7" t="s">
        <v>3302</v>
      </c>
      <c r="D221" s="7" t="s">
        <v>2862</v>
      </c>
      <c r="E221" s="9">
        <v>1</v>
      </c>
      <c r="F221" s="12">
        <v>4</v>
      </c>
      <c r="G221" s="7">
        <v>0</v>
      </c>
      <c r="H221" s="7">
        <v>0</v>
      </c>
      <c r="I221" s="7">
        <v>0</v>
      </c>
      <c r="J221" s="7">
        <v>0</v>
      </c>
      <c r="K221" s="7">
        <v>0</v>
      </c>
      <c r="L221" s="7">
        <v>0</v>
      </c>
      <c r="M221" s="7"/>
      <c r="N221" s="7" t="s">
        <v>3303</v>
      </c>
    </row>
    <row r="222" spans="1:14" ht="25.5" x14ac:dyDescent="0.25">
      <c r="A222" s="7" t="s">
        <v>1902</v>
      </c>
      <c r="B222" s="7" t="s">
        <v>1997</v>
      </c>
      <c r="C222" s="7" t="s">
        <v>3304</v>
      </c>
      <c r="D222" s="7" t="s">
        <v>3066</v>
      </c>
      <c r="E222" s="7">
        <v>0</v>
      </c>
      <c r="F222" s="7">
        <v>0</v>
      </c>
      <c r="G222" s="7">
        <v>0</v>
      </c>
      <c r="H222" s="7">
        <v>0</v>
      </c>
      <c r="I222" s="10">
        <v>5</v>
      </c>
      <c r="J222" s="7">
        <v>0</v>
      </c>
      <c r="K222" s="7">
        <v>0</v>
      </c>
      <c r="L222" s="7">
        <v>0</v>
      </c>
      <c r="M222" s="7"/>
      <c r="N222" s="7" t="s">
        <v>3305</v>
      </c>
    </row>
    <row r="223" spans="1:14" ht="25.5" x14ac:dyDescent="0.25">
      <c r="A223" s="7" t="s">
        <v>1902</v>
      </c>
      <c r="B223" s="7" t="s">
        <v>2010</v>
      </c>
      <c r="C223" s="7" t="s">
        <v>3306</v>
      </c>
      <c r="D223" s="7" t="s">
        <v>970</v>
      </c>
      <c r="E223" s="7">
        <v>0</v>
      </c>
      <c r="F223" s="7">
        <v>0</v>
      </c>
      <c r="G223" s="7">
        <v>0</v>
      </c>
      <c r="H223" s="7">
        <v>0</v>
      </c>
      <c r="I223" s="10">
        <v>5</v>
      </c>
      <c r="J223" s="7">
        <v>0</v>
      </c>
      <c r="K223" s="7">
        <v>0</v>
      </c>
      <c r="L223" s="7">
        <v>0</v>
      </c>
      <c r="M223" s="7"/>
      <c r="N223" s="7" t="s">
        <v>3307</v>
      </c>
    </row>
    <row r="224" spans="1:14" ht="25.5" x14ac:dyDescent="0.25">
      <c r="A224" s="7" t="s">
        <v>1902</v>
      </c>
      <c r="B224" s="7" t="s">
        <v>2024</v>
      </c>
      <c r="C224" s="7" t="s">
        <v>3308</v>
      </c>
      <c r="D224" s="7" t="s">
        <v>2862</v>
      </c>
      <c r="E224" s="7">
        <v>0</v>
      </c>
      <c r="F224" s="7">
        <v>0</v>
      </c>
      <c r="G224" s="7">
        <v>0</v>
      </c>
      <c r="H224" s="7">
        <v>0</v>
      </c>
      <c r="I224" s="7">
        <v>0</v>
      </c>
      <c r="J224" s="11">
        <v>6</v>
      </c>
      <c r="K224" s="7">
        <v>0</v>
      </c>
      <c r="L224" s="7">
        <v>0</v>
      </c>
      <c r="M224" s="7"/>
      <c r="N224" s="7" t="s">
        <v>3309</v>
      </c>
    </row>
    <row r="225" spans="1:14" ht="25.5" x14ac:dyDescent="0.25">
      <c r="A225" s="7" t="s">
        <v>1902</v>
      </c>
      <c r="B225" s="7" t="s">
        <v>2039</v>
      </c>
      <c r="C225" s="7" t="s">
        <v>3310</v>
      </c>
      <c r="D225" s="7" t="s">
        <v>2862</v>
      </c>
      <c r="E225" s="7">
        <v>0</v>
      </c>
      <c r="F225" s="7">
        <v>0</v>
      </c>
      <c r="G225" s="7">
        <v>0</v>
      </c>
      <c r="H225" s="7">
        <v>0</v>
      </c>
      <c r="I225" s="7">
        <v>0</v>
      </c>
      <c r="J225" s="11">
        <v>5</v>
      </c>
      <c r="K225" s="7">
        <v>0</v>
      </c>
      <c r="L225" s="7">
        <v>0</v>
      </c>
      <c r="M225" s="7"/>
      <c r="N225" s="7" t="s">
        <v>3311</v>
      </c>
    </row>
    <row r="226" spans="1:14" x14ac:dyDescent="0.25">
      <c r="A226" s="7" t="s">
        <v>1902</v>
      </c>
      <c r="B226" s="7" t="s">
        <v>2051</v>
      </c>
      <c r="C226" s="7" t="s">
        <v>3312</v>
      </c>
      <c r="D226" s="7" t="s">
        <v>2862</v>
      </c>
      <c r="E226" s="7">
        <v>0</v>
      </c>
      <c r="F226" s="7">
        <v>0</v>
      </c>
      <c r="G226" s="7">
        <v>0</v>
      </c>
      <c r="H226" s="7">
        <v>0</v>
      </c>
      <c r="I226" s="7">
        <v>0</v>
      </c>
      <c r="J226" s="11">
        <v>4</v>
      </c>
      <c r="K226" s="7">
        <v>0</v>
      </c>
      <c r="L226" s="7">
        <v>0</v>
      </c>
      <c r="M226" s="7"/>
      <c r="N226" s="7" t="s">
        <v>3313</v>
      </c>
    </row>
    <row r="227" spans="1:14" ht="25.5" x14ac:dyDescent="0.25">
      <c r="A227" s="7" t="s">
        <v>1902</v>
      </c>
      <c r="B227" s="7" t="s">
        <v>2061</v>
      </c>
      <c r="C227" s="7" t="s">
        <v>3314</v>
      </c>
      <c r="D227" s="7" t="s">
        <v>2862</v>
      </c>
      <c r="E227" s="7">
        <v>0</v>
      </c>
      <c r="F227" s="7">
        <v>0</v>
      </c>
      <c r="G227" s="7">
        <v>0</v>
      </c>
      <c r="H227" s="7">
        <v>0</v>
      </c>
      <c r="I227" s="7">
        <v>0</v>
      </c>
      <c r="J227" s="11">
        <v>5</v>
      </c>
      <c r="K227" s="7">
        <v>0</v>
      </c>
      <c r="L227" s="7">
        <v>0</v>
      </c>
      <c r="M227" s="7"/>
      <c r="N227" s="7" t="s">
        <v>3315</v>
      </c>
    </row>
    <row r="228" spans="1:14" ht="25.5" x14ac:dyDescent="0.25">
      <c r="A228" s="7" t="s">
        <v>1902</v>
      </c>
      <c r="B228" s="7" t="s">
        <v>2073</v>
      </c>
      <c r="C228" s="7" t="s">
        <v>3316</v>
      </c>
      <c r="D228" s="7" t="s">
        <v>970</v>
      </c>
      <c r="E228" s="7">
        <v>0</v>
      </c>
      <c r="F228" s="7">
        <v>0</v>
      </c>
      <c r="G228" s="7">
        <v>0</v>
      </c>
      <c r="H228" s="7">
        <v>0</v>
      </c>
      <c r="I228" s="7">
        <v>0</v>
      </c>
      <c r="J228" s="7">
        <v>0</v>
      </c>
      <c r="K228" s="7">
        <v>0</v>
      </c>
      <c r="L228" s="14">
        <v>1</v>
      </c>
      <c r="M228" s="7"/>
      <c r="N228" s="7" t="s">
        <v>3317</v>
      </c>
    </row>
    <row r="229" spans="1:14" x14ac:dyDescent="0.25">
      <c r="A229" s="7" t="s">
        <v>1902</v>
      </c>
      <c r="B229" s="7" t="s">
        <v>2076</v>
      </c>
      <c r="C229" s="7" t="s">
        <v>3318</v>
      </c>
      <c r="D229" s="7" t="s">
        <v>970</v>
      </c>
      <c r="E229" s="7">
        <v>0</v>
      </c>
      <c r="F229" s="7">
        <v>0</v>
      </c>
      <c r="G229" s="7">
        <v>0</v>
      </c>
      <c r="H229" s="7">
        <v>0</v>
      </c>
      <c r="I229" s="7">
        <v>0</v>
      </c>
      <c r="J229" s="7">
        <v>0</v>
      </c>
      <c r="K229" s="7">
        <v>0</v>
      </c>
      <c r="L229" s="14">
        <v>1</v>
      </c>
      <c r="M229" s="7"/>
      <c r="N229" s="7" t="s">
        <v>3319</v>
      </c>
    </row>
    <row r="230" spans="1:14" x14ac:dyDescent="0.25">
      <c r="A230" s="7" t="s">
        <v>1902</v>
      </c>
      <c r="B230" s="7" t="s">
        <v>2079</v>
      </c>
      <c r="C230" s="7" t="s">
        <v>3320</v>
      </c>
      <c r="D230" s="7" t="s">
        <v>3066</v>
      </c>
      <c r="E230" s="7">
        <v>0</v>
      </c>
      <c r="F230" s="7">
        <v>0</v>
      </c>
      <c r="G230" s="7">
        <v>0</v>
      </c>
      <c r="H230" s="7">
        <v>0</v>
      </c>
      <c r="I230" s="7">
        <v>0</v>
      </c>
      <c r="J230" s="7">
        <v>0</v>
      </c>
      <c r="K230" s="7">
        <v>0</v>
      </c>
      <c r="L230" s="14">
        <v>4</v>
      </c>
      <c r="M230" s="7"/>
      <c r="N230" s="7" t="s">
        <v>3321</v>
      </c>
    </row>
    <row r="231" spans="1:14" x14ac:dyDescent="0.25">
      <c r="A231" s="7" t="s">
        <v>1902</v>
      </c>
      <c r="B231" s="7" t="s">
        <v>2089</v>
      </c>
      <c r="C231" s="7" t="s">
        <v>3322</v>
      </c>
      <c r="D231" s="7" t="s">
        <v>2862</v>
      </c>
      <c r="E231" s="7">
        <v>0</v>
      </c>
      <c r="F231" s="7">
        <v>0</v>
      </c>
      <c r="G231" s="7">
        <v>0</v>
      </c>
      <c r="H231" s="7">
        <v>0</v>
      </c>
      <c r="I231" s="7">
        <v>0</v>
      </c>
      <c r="J231" s="7">
        <v>0</v>
      </c>
      <c r="K231" s="7">
        <v>0</v>
      </c>
      <c r="L231" s="14">
        <v>4</v>
      </c>
      <c r="M231" s="7"/>
      <c r="N231" s="7" t="s">
        <v>3323</v>
      </c>
    </row>
    <row r="232" spans="1:14" x14ac:dyDescent="0.25">
      <c r="A232" s="7" t="s">
        <v>1902</v>
      </c>
      <c r="B232" s="7" t="s">
        <v>2099</v>
      </c>
      <c r="C232" s="7" t="s">
        <v>3324</v>
      </c>
      <c r="D232" s="7" t="s">
        <v>3066</v>
      </c>
      <c r="E232" s="7">
        <v>0</v>
      </c>
      <c r="F232" s="7">
        <v>0</v>
      </c>
      <c r="G232" s="7">
        <v>0</v>
      </c>
      <c r="H232" s="7">
        <v>0</v>
      </c>
      <c r="I232" s="7">
        <v>0</v>
      </c>
      <c r="J232" s="7">
        <v>0</v>
      </c>
      <c r="K232" s="7">
        <v>0</v>
      </c>
      <c r="L232" s="14">
        <v>4</v>
      </c>
      <c r="M232" s="7"/>
      <c r="N232" s="7" t="s">
        <v>3325</v>
      </c>
    </row>
    <row r="233" spans="1:14" ht="25.5" x14ac:dyDescent="0.25">
      <c r="A233" s="7" t="s">
        <v>1902</v>
      </c>
      <c r="B233" s="7" t="s">
        <v>2109</v>
      </c>
      <c r="C233" s="7" t="s">
        <v>3326</v>
      </c>
      <c r="D233" s="7" t="s">
        <v>970</v>
      </c>
      <c r="E233" s="7">
        <v>0</v>
      </c>
      <c r="F233" s="7">
        <v>0</v>
      </c>
      <c r="G233" s="7">
        <v>0</v>
      </c>
      <c r="H233" s="7">
        <v>0</v>
      </c>
      <c r="I233" s="10">
        <v>5</v>
      </c>
      <c r="J233" s="7">
        <v>0</v>
      </c>
      <c r="K233" s="7">
        <v>0</v>
      </c>
      <c r="L233" s="7">
        <v>0</v>
      </c>
      <c r="M233" s="7"/>
      <c r="N233" s="7" t="s">
        <v>3327</v>
      </c>
    </row>
    <row r="234" spans="1:14" x14ac:dyDescent="0.25">
      <c r="A234" s="7" t="s">
        <v>1902</v>
      </c>
      <c r="B234" s="7" t="s">
        <v>2121</v>
      </c>
      <c r="C234" s="7" t="s">
        <v>3328</v>
      </c>
      <c r="D234" s="7" t="s">
        <v>970</v>
      </c>
      <c r="E234" s="7">
        <v>0</v>
      </c>
      <c r="F234" s="7">
        <v>0</v>
      </c>
      <c r="G234" s="7">
        <v>0</v>
      </c>
      <c r="H234" s="7">
        <v>0</v>
      </c>
      <c r="I234" s="10">
        <v>4</v>
      </c>
      <c r="J234" s="7">
        <v>0</v>
      </c>
      <c r="K234" s="7">
        <v>0</v>
      </c>
      <c r="L234" s="7">
        <v>0</v>
      </c>
      <c r="M234" s="7"/>
      <c r="N234" s="7" t="s">
        <v>3329</v>
      </c>
    </row>
    <row r="235" spans="1:14" x14ac:dyDescent="0.25">
      <c r="A235" s="7" t="s">
        <v>1902</v>
      </c>
      <c r="B235" s="7" t="s">
        <v>2131</v>
      </c>
      <c r="C235" s="7" t="s">
        <v>3330</v>
      </c>
      <c r="D235" s="7" t="s">
        <v>2862</v>
      </c>
      <c r="E235" s="7">
        <v>0</v>
      </c>
      <c r="F235" s="7">
        <v>0</v>
      </c>
      <c r="G235" s="7">
        <v>0</v>
      </c>
      <c r="H235" s="7">
        <v>0</v>
      </c>
      <c r="I235" s="7">
        <v>0</v>
      </c>
      <c r="J235" s="7">
        <v>0</v>
      </c>
      <c r="K235" s="7">
        <v>0</v>
      </c>
      <c r="L235" s="14">
        <v>4</v>
      </c>
      <c r="M235" s="7"/>
      <c r="N235" s="7" t="s">
        <v>3331</v>
      </c>
    </row>
    <row r="236" spans="1:14" x14ac:dyDescent="0.25">
      <c r="A236" s="7" t="s">
        <v>1902</v>
      </c>
      <c r="B236" s="7" t="s">
        <v>2141</v>
      </c>
      <c r="C236" s="7" t="s">
        <v>3332</v>
      </c>
      <c r="D236" s="7" t="s">
        <v>3066</v>
      </c>
      <c r="E236" s="7">
        <v>0</v>
      </c>
      <c r="F236" s="7">
        <v>0</v>
      </c>
      <c r="G236" s="7">
        <v>0</v>
      </c>
      <c r="H236" s="7">
        <v>0</v>
      </c>
      <c r="I236" s="10">
        <v>4</v>
      </c>
      <c r="J236" s="7">
        <v>0</v>
      </c>
      <c r="K236" s="7">
        <v>0</v>
      </c>
      <c r="L236" s="7">
        <v>0</v>
      </c>
      <c r="M236" s="7"/>
      <c r="N236" s="7" t="s">
        <v>3333</v>
      </c>
    </row>
    <row r="237" spans="1:14" x14ac:dyDescent="0.25">
      <c r="A237" s="7" t="s">
        <v>1902</v>
      </c>
      <c r="B237" s="7" t="s">
        <v>2151</v>
      </c>
      <c r="C237" s="7" t="s">
        <v>3334</v>
      </c>
      <c r="D237" s="7" t="s">
        <v>3066</v>
      </c>
      <c r="E237" s="7">
        <v>0</v>
      </c>
      <c r="F237" s="7">
        <v>0</v>
      </c>
      <c r="G237" s="7">
        <v>0</v>
      </c>
      <c r="H237" s="7">
        <v>0</v>
      </c>
      <c r="I237" s="10">
        <v>4</v>
      </c>
      <c r="J237" s="7">
        <v>0</v>
      </c>
      <c r="K237" s="7">
        <v>0</v>
      </c>
      <c r="L237" s="7">
        <v>0</v>
      </c>
      <c r="M237" s="7"/>
      <c r="N237" s="7" t="s">
        <v>3335</v>
      </c>
    </row>
    <row r="238" spans="1:14" x14ac:dyDescent="0.25">
      <c r="A238" s="7" t="s">
        <v>1902</v>
      </c>
      <c r="B238" s="7" t="s">
        <v>2161</v>
      </c>
      <c r="C238" s="7" t="s">
        <v>3336</v>
      </c>
      <c r="D238" s="7" t="s">
        <v>3066</v>
      </c>
      <c r="E238" s="7">
        <v>0</v>
      </c>
      <c r="F238" s="7">
        <v>0</v>
      </c>
      <c r="G238" s="7">
        <v>0</v>
      </c>
      <c r="H238" s="7">
        <v>0</v>
      </c>
      <c r="I238" s="10">
        <v>4</v>
      </c>
      <c r="J238" s="7">
        <v>0</v>
      </c>
      <c r="K238" s="7">
        <v>0</v>
      </c>
      <c r="L238" s="7">
        <v>0</v>
      </c>
      <c r="M238" s="7"/>
      <c r="N238" s="7" t="s">
        <v>3337</v>
      </c>
    </row>
    <row r="239" spans="1:14" ht="25.5" x14ac:dyDescent="0.25">
      <c r="A239" s="7" t="s">
        <v>1902</v>
      </c>
      <c r="B239" s="7" t="s">
        <v>2171</v>
      </c>
      <c r="C239" s="7" t="s">
        <v>3338</v>
      </c>
      <c r="D239" s="7" t="s">
        <v>970</v>
      </c>
      <c r="E239" s="7">
        <v>0</v>
      </c>
      <c r="F239" s="7">
        <v>0</v>
      </c>
      <c r="G239" s="7">
        <v>0</v>
      </c>
      <c r="H239" s="7">
        <v>0</v>
      </c>
      <c r="I239" s="10">
        <v>1</v>
      </c>
      <c r="J239" s="7">
        <v>0</v>
      </c>
      <c r="K239" s="7">
        <v>0</v>
      </c>
      <c r="L239" s="7">
        <v>0</v>
      </c>
      <c r="M239" s="7"/>
      <c r="N239" s="7" t="s">
        <v>3339</v>
      </c>
    </row>
    <row r="240" spans="1:14" ht="25.5" x14ac:dyDescent="0.25">
      <c r="A240" s="7" t="s">
        <v>1902</v>
      </c>
      <c r="B240" s="7" t="s">
        <v>2174</v>
      </c>
      <c r="C240" s="7" t="s">
        <v>3340</v>
      </c>
      <c r="D240" s="7" t="s">
        <v>3066</v>
      </c>
      <c r="E240" s="7">
        <v>0</v>
      </c>
      <c r="F240" s="7">
        <v>0</v>
      </c>
      <c r="G240" s="7">
        <v>0</v>
      </c>
      <c r="H240" s="7">
        <v>0</v>
      </c>
      <c r="I240" s="10">
        <v>5</v>
      </c>
      <c r="J240" s="7">
        <v>0</v>
      </c>
      <c r="K240" s="7">
        <v>0</v>
      </c>
      <c r="L240" s="7">
        <v>0</v>
      </c>
      <c r="M240" s="7"/>
      <c r="N240" s="7" t="s">
        <v>3341</v>
      </c>
    </row>
    <row r="241" spans="1:14" x14ac:dyDescent="0.25">
      <c r="A241" s="7" t="s">
        <v>1902</v>
      </c>
      <c r="B241" s="7" t="s">
        <v>2187</v>
      </c>
      <c r="C241" s="7" t="s">
        <v>3342</v>
      </c>
      <c r="D241" s="7" t="s">
        <v>3066</v>
      </c>
      <c r="E241" s="7">
        <v>0</v>
      </c>
      <c r="F241" s="7">
        <v>0</v>
      </c>
      <c r="G241" s="7">
        <v>0</v>
      </c>
      <c r="H241" s="7">
        <v>0</v>
      </c>
      <c r="I241" s="7">
        <v>0</v>
      </c>
      <c r="J241" s="7">
        <v>0</v>
      </c>
      <c r="K241" s="7">
        <v>0</v>
      </c>
      <c r="L241" s="14">
        <v>4</v>
      </c>
      <c r="M241" s="7"/>
      <c r="N241" s="7" t="s">
        <v>3343</v>
      </c>
    </row>
    <row r="242" spans="1:14" ht="25.5" x14ac:dyDescent="0.25">
      <c r="A242" s="7" t="s">
        <v>1902</v>
      </c>
      <c r="B242" s="7" t="s">
        <v>2198</v>
      </c>
      <c r="C242" s="7" t="s">
        <v>3344</v>
      </c>
      <c r="D242" s="7" t="s">
        <v>970</v>
      </c>
      <c r="E242" s="7">
        <v>0</v>
      </c>
      <c r="F242" s="7">
        <v>0</v>
      </c>
      <c r="G242" s="7">
        <v>0</v>
      </c>
      <c r="H242" s="7">
        <v>0</v>
      </c>
      <c r="I242" s="7">
        <v>0</v>
      </c>
      <c r="J242" s="7">
        <v>0</v>
      </c>
      <c r="K242" s="7">
        <v>0</v>
      </c>
      <c r="L242" s="14">
        <v>6</v>
      </c>
      <c r="M242" s="7"/>
      <c r="N242" s="7" t="s">
        <v>3345</v>
      </c>
    </row>
    <row r="243" spans="1:14" x14ac:dyDescent="0.25">
      <c r="A243" s="7" t="s">
        <v>1902</v>
      </c>
      <c r="B243" s="7" t="s">
        <v>2212</v>
      </c>
      <c r="C243" s="7" t="s">
        <v>3346</v>
      </c>
      <c r="D243" s="7" t="s">
        <v>3066</v>
      </c>
      <c r="E243" s="7">
        <v>0</v>
      </c>
      <c r="F243" s="7">
        <v>0</v>
      </c>
      <c r="G243" s="7">
        <v>0</v>
      </c>
      <c r="H243" s="7">
        <v>0</v>
      </c>
      <c r="I243" s="10">
        <v>3</v>
      </c>
      <c r="J243" s="7">
        <v>0</v>
      </c>
      <c r="K243" s="7">
        <v>0</v>
      </c>
      <c r="L243" s="7">
        <v>0</v>
      </c>
      <c r="M243" s="7"/>
      <c r="N243" s="7" t="s">
        <v>3347</v>
      </c>
    </row>
    <row r="244" spans="1:14" x14ac:dyDescent="0.25">
      <c r="A244" s="7" t="s">
        <v>1902</v>
      </c>
      <c r="B244" s="7" t="s">
        <v>2220</v>
      </c>
      <c r="C244" s="7" t="s">
        <v>3348</v>
      </c>
      <c r="D244" s="7" t="s">
        <v>3066</v>
      </c>
      <c r="E244" s="7">
        <v>0</v>
      </c>
      <c r="F244" s="7">
        <v>0</v>
      </c>
      <c r="G244" s="7">
        <v>0</v>
      </c>
      <c r="H244" s="7">
        <v>0</v>
      </c>
      <c r="I244" s="10">
        <v>4</v>
      </c>
      <c r="J244" s="7">
        <v>0</v>
      </c>
      <c r="K244" s="7">
        <v>0</v>
      </c>
      <c r="L244" s="7">
        <v>0</v>
      </c>
      <c r="M244" s="7"/>
      <c r="N244" s="7" t="s">
        <v>3349</v>
      </c>
    </row>
    <row r="245" spans="1:14" x14ac:dyDescent="0.25">
      <c r="A245" s="7" t="s">
        <v>1902</v>
      </c>
      <c r="B245" s="7" t="s">
        <v>2230</v>
      </c>
      <c r="C245" s="7" t="s">
        <v>3350</v>
      </c>
      <c r="D245" s="7" t="s">
        <v>970</v>
      </c>
      <c r="E245" s="7">
        <v>0</v>
      </c>
      <c r="F245" s="7">
        <v>0</v>
      </c>
      <c r="G245" s="7">
        <v>0</v>
      </c>
      <c r="H245" s="7">
        <v>0</v>
      </c>
      <c r="I245" s="10">
        <v>3</v>
      </c>
      <c r="J245" s="7">
        <v>0</v>
      </c>
      <c r="K245" s="7">
        <v>0</v>
      </c>
      <c r="L245" s="7">
        <v>0</v>
      </c>
      <c r="M245" s="7"/>
      <c r="N245" s="7" t="s">
        <v>3351</v>
      </c>
    </row>
    <row r="246" spans="1:14" x14ac:dyDescent="0.25">
      <c r="A246" s="7" t="s">
        <v>1902</v>
      </c>
      <c r="B246" s="7" t="s">
        <v>2238</v>
      </c>
      <c r="C246" s="7" t="s">
        <v>3352</v>
      </c>
      <c r="D246" s="7" t="s">
        <v>3066</v>
      </c>
      <c r="E246" s="7">
        <v>0</v>
      </c>
      <c r="F246" s="7">
        <v>0</v>
      </c>
      <c r="G246" s="7">
        <v>0</v>
      </c>
      <c r="H246" s="7">
        <v>0</v>
      </c>
      <c r="I246" s="7">
        <v>0</v>
      </c>
      <c r="J246" s="7">
        <v>0</v>
      </c>
      <c r="K246" s="7">
        <v>0</v>
      </c>
      <c r="L246" s="14">
        <v>3</v>
      </c>
      <c r="M246" s="7"/>
      <c r="N246" s="7" t="s">
        <v>3353</v>
      </c>
    </row>
    <row r="247" spans="1:14" ht="25.5" x14ac:dyDescent="0.25">
      <c r="A247" s="7" t="s">
        <v>1902</v>
      </c>
      <c r="B247" s="7" t="s">
        <v>2246</v>
      </c>
      <c r="C247" s="7" t="s">
        <v>3354</v>
      </c>
      <c r="D247" s="7" t="s">
        <v>3066</v>
      </c>
      <c r="E247" s="7">
        <v>0</v>
      </c>
      <c r="F247" s="7">
        <v>0</v>
      </c>
      <c r="G247" s="7">
        <v>0</v>
      </c>
      <c r="H247" s="7">
        <v>0</v>
      </c>
      <c r="I247" s="7">
        <v>0</v>
      </c>
      <c r="J247" s="7">
        <v>0</v>
      </c>
      <c r="K247" s="7">
        <v>0</v>
      </c>
      <c r="L247" s="14">
        <v>5</v>
      </c>
      <c r="M247" s="7"/>
      <c r="N247" s="7" t="s">
        <v>3355</v>
      </c>
    </row>
    <row r="248" spans="1:14" ht="25.5" x14ac:dyDescent="0.25">
      <c r="A248" s="7" t="s">
        <v>1902</v>
      </c>
      <c r="B248" s="7" t="s">
        <v>2258</v>
      </c>
      <c r="C248" s="7" t="s">
        <v>3356</v>
      </c>
      <c r="D248" s="7" t="s">
        <v>970</v>
      </c>
      <c r="E248" s="7">
        <v>0</v>
      </c>
      <c r="F248" s="7">
        <v>0</v>
      </c>
      <c r="G248" s="7">
        <v>0</v>
      </c>
      <c r="H248" s="7">
        <v>0</v>
      </c>
      <c r="I248" s="10">
        <v>5</v>
      </c>
      <c r="J248" s="7">
        <v>0</v>
      </c>
      <c r="K248" s="7">
        <v>0</v>
      </c>
      <c r="L248" s="7">
        <v>0</v>
      </c>
      <c r="M248" s="7"/>
      <c r="N248" s="7" t="s">
        <v>3357</v>
      </c>
    </row>
    <row r="249" spans="1:14" x14ac:dyDescent="0.25">
      <c r="A249" s="7" t="s">
        <v>1902</v>
      </c>
      <c r="B249" s="7" t="s">
        <v>2270</v>
      </c>
      <c r="C249" s="7" t="s">
        <v>3358</v>
      </c>
      <c r="D249" s="7" t="s">
        <v>3066</v>
      </c>
      <c r="E249" s="7">
        <v>0</v>
      </c>
      <c r="F249" s="7">
        <v>0</v>
      </c>
      <c r="G249" s="7">
        <v>0</v>
      </c>
      <c r="H249" s="7">
        <v>0</v>
      </c>
      <c r="I249" s="10">
        <v>2</v>
      </c>
      <c r="J249" s="7">
        <v>0</v>
      </c>
      <c r="K249" s="7">
        <v>0</v>
      </c>
      <c r="L249" s="7">
        <v>0</v>
      </c>
      <c r="M249" s="7"/>
      <c r="N249" s="7" t="s">
        <v>3359</v>
      </c>
    </row>
    <row r="250" spans="1:14" x14ac:dyDescent="0.25">
      <c r="A250" s="7" t="s">
        <v>1902</v>
      </c>
      <c r="B250" s="7" t="s">
        <v>2276</v>
      </c>
      <c r="C250" s="7" t="s">
        <v>3360</v>
      </c>
      <c r="D250" s="7" t="s">
        <v>3066</v>
      </c>
      <c r="E250" s="7">
        <v>0</v>
      </c>
      <c r="F250" s="7">
        <v>0</v>
      </c>
      <c r="G250" s="7">
        <v>0</v>
      </c>
      <c r="H250" s="7">
        <v>0</v>
      </c>
      <c r="I250" s="10">
        <v>4</v>
      </c>
      <c r="J250" s="7">
        <v>0</v>
      </c>
      <c r="K250" s="7">
        <v>0</v>
      </c>
      <c r="L250" s="7">
        <v>0</v>
      </c>
      <c r="M250" s="7"/>
      <c r="N250" s="7" t="s">
        <v>3361</v>
      </c>
    </row>
    <row r="251" spans="1:14" ht="165.75" x14ac:dyDescent="0.25">
      <c r="A251" s="7" t="s">
        <v>2286</v>
      </c>
      <c r="B251" s="7" t="s">
        <v>2400</v>
      </c>
      <c r="C251" s="7"/>
      <c r="D251" s="7"/>
      <c r="E251" s="9">
        <v>17</v>
      </c>
      <c r="F251" s="7">
        <v>0</v>
      </c>
      <c r="G251" s="7">
        <v>0</v>
      </c>
      <c r="H251" s="7">
        <v>0</v>
      </c>
      <c r="I251" s="7">
        <v>0</v>
      </c>
      <c r="J251" s="7">
        <v>0</v>
      </c>
      <c r="K251" s="7">
        <v>0</v>
      </c>
      <c r="L251" s="7">
        <v>0</v>
      </c>
      <c r="M251" s="7" t="s">
        <v>3362</v>
      </c>
      <c r="N251" s="7" t="s">
        <v>3363</v>
      </c>
    </row>
    <row r="252" spans="1:14" ht="25.5" x14ac:dyDescent="0.25">
      <c r="A252" s="7" t="s">
        <v>2286</v>
      </c>
      <c r="B252" s="7" t="s">
        <v>2479</v>
      </c>
      <c r="C252" s="7"/>
      <c r="D252" s="7"/>
      <c r="E252" s="9">
        <v>6</v>
      </c>
      <c r="F252" s="7">
        <v>0</v>
      </c>
      <c r="G252" s="7">
        <v>0</v>
      </c>
      <c r="H252" s="7">
        <v>0</v>
      </c>
      <c r="I252" s="7">
        <v>0</v>
      </c>
      <c r="J252" s="7">
        <v>0</v>
      </c>
      <c r="K252" s="7">
        <v>0</v>
      </c>
      <c r="L252" s="7">
        <v>0</v>
      </c>
      <c r="M252" s="7" t="s">
        <v>3364</v>
      </c>
      <c r="N252" s="7" t="s">
        <v>3365</v>
      </c>
    </row>
    <row r="253" spans="1:14" ht="25.5" x14ac:dyDescent="0.25">
      <c r="A253" s="7" t="s">
        <v>2286</v>
      </c>
      <c r="B253" s="7" t="s">
        <v>2503</v>
      </c>
      <c r="C253" s="7"/>
      <c r="D253" s="7"/>
      <c r="E253" s="9">
        <v>4</v>
      </c>
      <c r="F253" s="7">
        <v>0</v>
      </c>
      <c r="G253" s="7">
        <v>0</v>
      </c>
      <c r="H253" s="7">
        <v>0</v>
      </c>
      <c r="I253" s="7">
        <v>0</v>
      </c>
      <c r="J253" s="7">
        <v>0</v>
      </c>
      <c r="K253" s="7">
        <v>0</v>
      </c>
      <c r="L253" s="7">
        <v>0</v>
      </c>
      <c r="M253" s="7" t="s">
        <v>3366</v>
      </c>
      <c r="N253" s="7" t="s">
        <v>3367</v>
      </c>
    </row>
    <row r="254" spans="1:14" ht="76.5" x14ac:dyDescent="0.25">
      <c r="A254" s="7" t="s">
        <v>2286</v>
      </c>
      <c r="B254" s="7" t="s">
        <v>2523</v>
      </c>
      <c r="C254" s="7"/>
      <c r="D254" s="7"/>
      <c r="E254" s="9">
        <v>13</v>
      </c>
      <c r="F254" s="7">
        <v>0</v>
      </c>
      <c r="G254" s="7">
        <v>0</v>
      </c>
      <c r="H254" s="7">
        <v>0</v>
      </c>
      <c r="I254" s="7">
        <v>0</v>
      </c>
      <c r="J254" s="7">
        <v>0</v>
      </c>
      <c r="K254" s="7">
        <v>0</v>
      </c>
      <c r="L254" s="7">
        <v>0</v>
      </c>
      <c r="M254" s="7" t="s">
        <v>3368</v>
      </c>
      <c r="N254" s="7" t="s">
        <v>3369</v>
      </c>
    </row>
    <row r="255" spans="1:14" ht="127.5" x14ac:dyDescent="0.25">
      <c r="A255" s="7" t="s">
        <v>2286</v>
      </c>
      <c r="B255" s="7" t="s">
        <v>2577</v>
      </c>
      <c r="C255" s="7"/>
      <c r="D255" s="7"/>
      <c r="E255" s="9">
        <v>10</v>
      </c>
      <c r="F255" s="7">
        <v>0</v>
      </c>
      <c r="G255" s="7">
        <v>0</v>
      </c>
      <c r="H255" s="7">
        <v>0</v>
      </c>
      <c r="I255" s="7">
        <v>0</v>
      </c>
      <c r="J255" s="7">
        <v>0</v>
      </c>
      <c r="K255" s="7">
        <v>0</v>
      </c>
      <c r="L255" s="7">
        <v>0</v>
      </c>
      <c r="M255" s="7" t="s">
        <v>3370</v>
      </c>
      <c r="N255" s="7" t="s">
        <v>3371</v>
      </c>
    </row>
    <row r="256" spans="1:14" ht="76.5" x14ac:dyDescent="0.25">
      <c r="A256" s="7" t="s">
        <v>2286</v>
      </c>
      <c r="B256" s="7" t="s">
        <v>2616</v>
      </c>
      <c r="C256" s="7"/>
      <c r="D256" s="7"/>
      <c r="E256" s="9">
        <v>5</v>
      </c>
      <c r="F256" s="7">
        <v>0</v>
      </c>
      <c r="G256" s="7">
        <v>0</v>
      </c>
      <c r="H256" s="7">
        <v>0</v>
      </c>
      <c r="I256" s="7">
        <v>0</v>
      </c>
      <c r="J256" s="7">
        <v>0</v>
      </c>
      <c r="K256" s="7">
        <v>0</v>
      </c>
      <c r="L256" s="7">
        <v>0</v>
      </c>
      <c r="M256" s="7" t="s">
        <v>3372</v>
      </c>
      <c r="N256" s="7" t="s">
        <v>3373</v>
      </c>
    </row>
    <row r="257" spans="1:14" ht="63.75" x14ac:dyDescent="0.25">
      <c r="A257" s="7" t="s">
        <v>2286</v>
      </c>
      <c r="B257" s="7" t="s">
        <v>2653</v>
      </c>
      <c r="C257" s="7"/>
      <c r="D257" s="7"/>
      <c r="E257" s="9">
        <v>5</v>
      </c>
      <c r="F257" s="7">
        <v>0</v>
      </c>
      <c r="G257" s="7">
        <v>0</v>
      </c>
      <c r="H257" s="7">
        <v>0</v>
      </c>
      <c r="I257" s="7">
        <v>0</v>
      </c>
      <c r="J257" s="7">
        <v>0</v>
      </c>
      <c r="K257" s="7">
        <v>0</v>
      </c>
      <c r="L257" s="7">
        <v>0</v>
      </c>
      <c r="M257" s="7" t="s">
        <v>3374</v>
      </c>
      <c r="N257" s="7" t="s">
        <v>3375</v>
      </c>
    </row>
    <row r="258" spans="1:14" ht="102" x14ac:dyDescent="0.25">
      <c r="A258" s="7" t="s">
        <v>2286</v>
      </c>
      <c r="B258" s="7" t="s">
        <v>2680</v>
      </c>
      <c r="C258" s="7"/>
      <c r="D258" s="7"/>
      <c r="E258" s="9">
        <v>10</v>
      </c>
      <c r="F258" s="7">
        <v>0</v>
      </c>
      <c r="G258" s="7">
        <v>0</v>
      </c>
      <c r="H258" s="7">
        <v>0</v>
      </c>
      <c r="I258" s="7">
        <v>0</v>
      </c>
      <c r="J258" s="7">
        <v>0</v>
      </c>
      <c r="K258" s="7">
        <v>0</v>
      </c>
      <c r="L258" s="7">
        <v>0</v>
      </c>
      <c r="M258" s="7" t="s">
        <v>3376</v>
      </c>
      <c r="N258" s="7" t="s">
        <v>3377</v>
      </c>
    </row>
    <row r="259" spans="1:14" ht="63.75" x14ac:dyDescent="0.25">
      <c r="A259" s="7" t="s">
        <v>2286</v>
      </c>
      <c r="B259" s="7" t="s">
        <v>2699</v>
      </c>
      <c r="C259" s="7"/>
      <c r="D259" s="7"/>
      <c r="E259" s="9">
        <v>8</v>
      </c>
      <c r="F259" s="7">
        <v>0</v>
      </c>
      <c r="G259" s="7">
        <v>0</v>
      </c>
      <c r="H259" s="7">
        <v>0</v>
      </c>
      <c r="I259" s="7">
        <v>0</v>
      </c>
      <c r="J259" s="7">
        <v>0</v>
      </c>
      <c r="K259" s="7">
        <v>0</v>
      </c>
      <c r="L259" s="7">
        <v>0</v>
      </c>
      <c r="M259" s="7" t="s">
        <v>3378</v>
      </c>
      <c r="N259" s="7" t="s">
        <v>3379</v>
      </c>
    </row>
    <row r="260" spans="1:14" ht="51" x14ac:dyDescent="0.25">
      <c r="A260" s="7" t="s">
        <v>2286</v>
      </c>
      <c r="B260" s="7" t="s">
        <v>2802</v>
      </c>
      <c r="C260" s="7"/>
      <c r="D260" s="7"/>
      <c r="E260" s="9">
        <v>10</v>
      </c>
      <c r="F260" s="7">
        <v>0</v>
      </c>
      <c r="G260" s="7">
        <v>0</v>
      </c>
      <c r="H260" s="7">
        <v>0</v>
      </c>
      <c r="I260" s="7">
        <v>0</v>
      </c>
      <c r="J260" s="7">
        <v>0</v>
      </c>
      <c r="K260" s="7">
        <v>0</v>
      </c>
      <c r="L260" s="7">
        <v>0</v>
      </c>
      <c r="M260" s="7"/>
      <c r="N260" s="7" t="s">
        <v>3380</v>
      </c>
    </row>
    <row r="261" spans="1:14" x14ac:dyDescent="0.25">
      <c r="A261" s="7" t="s">
        <v>2286</v>
      </c>
      <c r="B261" s="7" t="s">
        <v>2845</v>
      </c>
      <c r="C261" s="7"/>
      <c r="D261" s="7"/>
      <c r="E261" s="7">
        <v>0</v>
      </c>
      <c r="F261" s="7">
        <v>0</v>
      </c>
      <c r="G261" s="8">
        <v>1</v>
      </c>
      <c r="H261" s="7">
        <v>0</v>
      </c>
      <c r="I261" s="7">
        <v>0</v>
      </c>
      <c r="J261" s="7">
        <v>0</v>
      </c>
      <c r="K261" s="7">
        <v>0</v>
      </c>
      <c r="L261" s="7">
        <v>0</v>
      </c>
      <c r="M261" s="7"/>
      <c r="N261" s="7" t="s">
        <v>3381</v>
      </c>
    </row>
  </sheetData>
  <autoFilter ref="A1:N261" xr:uid="{00000000-0001-0000-0100-000000000000}"/>
  <conditionalFormatting sqref="D1:D1048576">
    <cfRule type="containsText" dxfId="0" priority="1" operator="containsText" text="DESESTIMADA">
      <formula>NOT(ISERROR(SEARCH("DESESTIMADA",D1)))</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A3B8D-7E22-466B-80FC-832F48DC4BF0}">
  <sheetPr filterMode="1"/>
  <dimension ref="A1:Q136"/>
  <sheetViews>
    <sheetView topLeftCell="A42" workbookViewId="0">
      <selection activeCell="C50" sqref="C50"/>
    </sheetView>
  </sheetViews>
  <sheetFormatPr baseColWidth="10" defaultRowHeight="15" x14ac:dyDescent="0.25"/>
  <sheetData>
    <row r="1" spans="1:17" s="18" customFormat="1" ht="21" customHeight="1" x14ac:dyDescent="0.35">
      <c r="A1" s="18" t="s">
        <v>3424</v>
      </c>
    </row>
    <row r="2" spans="1:17" ht="45" customHeight="1" x14ac:dyDescent="0.25">
      <c r="A2" s="19" t="s">
        <v>0</v>
      </c>
      <c r="B2" s="19" t="s">
        <v>1</v>
      </c>
      <c r="C2" s="19" t="s">
        <v>2</v>
      </c>
      <c r="D2" s="19" t="s">
        <v>3</v>
      </c>
      <c r="E2" s="19" t="s">
        <v>4</v>
      </c>
      <c r="F2" s="19" t="s">
        <v>5</v>
      </c>
      <c r="G2" s="19" t="s">
        <v>6</v>
      </c>
      <c r="H2" s="19" t="s">
        <v>7</v>
      </c>
      <c r="I2" s="19" t="s">
        <v>8</v>
      </c>
      <c r="J2" s="19" t="s">
        <v>11</v>
      </c>
      <c r="K2" s="19" t="s">
        <v>12</v>
      </c>
      <c r="L2" s="19" t="s">
        <v>13</v>
      </c>
      <c r="M2" s="19" t="s">
        <v>14</v>
      </c>
      <c r="N2" s="19" t="s">
        <v>15</v>
      </c>
      <c r="O2" s="19" t="s">
        <v>16</v>
      </c>
      <c r="P2" s="19" t="s">
        <v>17</v>
      </c>
      <c r="Q2" s="19" t="s">
        <v>18</v>
      </c>
    </row>
    <row r="3" spans="1:17" ht="192" hidden="1" customHeight="1" x14ac:dyDescent="0.25">
      <c r="A3" s="20" t="s">
        <v>1902</v>
      </c>
      <c r="B3" s="20" t="s">
        <v>1902</v>
      </c>
      <c r="C3" s="20" t="s">
        <v>1997</v>
      </c>
      <c r="D3" s="20" t="s">
        <v>1187</v>
      </c>
      <c r="E3" s="20" t="s">
        <v>1998</v>
      </c>
      <c r="F3" s="20" t="s">
        <v>1982</v>
      </c>
      <c r="G3" s="20" t="s">
        <v>115</v>
      </c>
      <c r="H3" s="20" t="s">
        <v>1999</v>
      </c>
      <c r="I3" s="20" t="s">
        <v>2000</v>
      </c>
      <c r="J3" s="20" t="s">
        <v>3425</v>
      </c>
      <c r="K3" s="21" t="s">
        <v>373</v>
      </c>
      <c r="L3" s="20"/>
      <c r="M3" s="20"/>
      <c r="N3" s="20"/>
      <c r="O3" s="20"/>
      <c r="P3" s="20"/>
      <c r="Q3" s="20" t="s">
        <v>3426</v>
      </c>
    </row>
    <row r="4" spans="1:17" ht="168" hidden="1" customHeight="1" x14ac:dyDescent="0.25">
      <c r="A4" s="20" t="s">
        <v>1902</v>
      </c>
      <c r="B4" s="20" t="s">
        <v>1902</v>
      </c>
      <c r="C4" s="20" t="s">
        <v>1997</v>
      </c>
      <c r="D4" s="20" t="s">
        <v>1187</v>
      </c>
      <c r="E4" s="20" t="s">
        <v>1998</v>
      </c>
      <c r="F4" s="20" t="s">
        <v>1982</v>
      </c>
      <c r="G4" s="20" t="s">
        <v>115</v>
      </c>
      <c r="H4" s="20" t="s">
        <v>2002</v>
      </c>
      <c r="I4" s="20" t="s">
        <v>2003</v>
      </c>
      <c r="J4" s="20" t="s">
        <v>3425</v>
      </c>
      <c r="K4" s="21" t="s">
        <v>373</v>
      </c>
      <c r="L4" s="20"/>
      <c r="M4" s="20"/>
      <c r="N4" s="20"/>
      <c r="O4" s="20"/>
      <c r="P4" s="20"/>
      <c r="Q4" s="20" t="s">
        <v>3426</v>
      </c>
    </row>
    <row r="5" spans="1:17" ht="192" hidden="1" customHeight="1" x14ac:dyDescent="0.25">
      <c r="A5" s="20" t="s">
        <v>1902</v>
      </c>
      <c r="B5" s="20" t="s">
        <v>1902</v>
      </c>
      <c r="C5" s="20" t="s">
        <v>1997</v>
      </c>
      <c r="D5" s="20" t="s">
        <v>1187</v>
      </c>
      <c r="E5" s="20" t="s">
        <v>1998</v>
      </c>
      <c r="F5" s="20" t="s">
        <v>1982</v>
      </c>
      <c r="G5" s="20" t="s">
        <v>115</v>
      </c>
      <c r="H5" s="20" t="s">
        <v>2004</v>
      </c>
      <c r="I5" s="20" t="s">
        <v>2005</v>
      </c>
      <c r="J5" s="20" t="s">
        <v>3425</v>
      </c>
      <c r="K5" s="21" t="s">
        <v>373</v>
      </c>
      <c r="L5" s="20"/>
      <c r="M5" s="20"/>
      <c r="N5" s="20"/>
      <c r="O5" s="20"/>
      <c r="P5" s="20"/>
      <c r="Q5" s="20" t="s">
        <v>3426</v>
      </c>
    </row>
    <row r="6" spans="1:17" ht="168" hidden="1" customHeight="1" x14ac:dyDescent="0.25">
      <c r="A6" s="20" t="s">
        <v>1902</v>
      </c>
      <c r="B6" s="20" t="s">
        <v>1902</v>
      </c>
      <c r="C6" s="20" t="s">
        <v>1997</v>
      </c>
      <c r="D6" s="20" t="s">
        <v>1187</v>
      </c>
      <c r="E6" s="20" t="s">
        <v>1998</v>
      </c>
      <c r="F6" s="20" t="s">
        <v>1982</v>
      </c>
      <c r="G6" s="20" t="s">
        <v>115</v>
      </c>
      <c r="H6" s="20" t="s">
        <v>2006</v>
      </c>
      <c r="I6" s="20" t="s">
        <v>2007</v>
      </c>
      <c r="J6" s="20" t="s">
        <v>3425</v>
      </c>
      <c r="K6" s="21" t="s">
        <v>373</v>
      </c>
      <c r="L6" s="20"/>
      <c r="M6" s="20"/>
      <c r="N6" s="20"/>
      <c r="O6" s="20"/>
      <c r="P6" s="20"/>
      <c r="Q6" s="20" t="s">
        <v>3426</v>
      </c>
    </row>
    <row r="7" spans="1:17" ht="180" hidden="1" customHeight="1" x14ac:dyDescent="0.25">
      <c r="A7" s="20" t="s">
        <v>1902</v>
      </c>
      <c r="B7" s="20" t="s">
        <v>1902</v>
      </c>
      <c r="C7" s="20" t="s">
        <v>1997</v>
      </c>
      <c r="D7" s="20" t="s">
        <v>1187</v>
      </c>
      <c r="E7" s="20" t="s">
        <v>1998</v>
      </c>
      <c r="F7" s="20" t="s">
        <v>1982</v>
      </c>
      <c r="G7" s="20" t="s">
        <v>115</v>
      </c>
      <c r="H7" s="20" t="s">
        <v>2008</v>
      </c>
      <c r="I7" s="20" t="s">
        <v>2009</v>
      </c>
      <c r="J7" s="20" t="s">
        <v>3425</v>
      </c>
      <c r="K7" s="21" t="s">
        <v>373</v>
      </c>
      <c r="L7" s="20"/>
      <c r="M7" s="20"/>
      <c r="N7" s="20"/>
      <c r="O7" s="20"/>
      <c r="P7" s="20"/>
      <c r="Q7" s="20" t="s">
        <v>3426</v>
      </c>
    </row>
    <row r="8" spans="1:17" ht="216" hidden="1" customHeight="1" x14ac:dyDescent="0.25">
      <c r="A8" s="20" t="s">
        <v>1902</v>
      </c>
      <c r="B8" s="20" t="s">
        <v>1902</v>
      </c>
      <c r="C8" s="20" t="s">
        <v>2141</v>
      </c>
      <c r="D8" s="20" t="s">
        <v>1187</v>
      </c>
      <c r="E8" s="20" t="s">
        <v>2142</v>
      </c>
      <c r="F8" s="20" t="s">
        <v>2012</v>
      </c>
      <c r="G8" s="20" t="s">
        <v>1950</v>
      </c>
      <c r="H8" s="20" t="s">
        <v>2143</v>
      </c>
      <c r="I8" s="20" t="s">
        <v>2144</v>
      </c>
      <c r="J8" s="20" t="s">
        <v>3427</v>
      </c>
      <c r="K8" s="21" t="s">
        <v>373</v>
      </c>
      <c r="L8" s="20"/>
      <c r="M8" s="20"/>
      <c r="N8" s="20"/>
      <c r="O8" s="20"/>
      <c r="P8" s="20"/>
      <c r="Q8" s="20" t="s">
        <v>3426</v>
      </c>
    </row>
    <row r="9" spans="1:17" ht="168" hidden="1" customHeight="1" x14ac:dyDescent="0.25">
      <c r="A9" s="20" t="s">
        <v>1902</v>
      </c>
      <c r="B9" s="20" t="s">
        <v>1902</v>
      </c>
      <c r="C9" s="20" t="s">
        <v>2141</v>
      </c>
      <c r="D9" s="20" t="s">
        <v>1187</v>
      </c>
      <c r="E9" s="20" t="s">
        <v>2142</v>
      </c>
      <c r="F9" s="20" t="s">
        <v>2012</v>
      </c>
      <c r="G9" s="20" t="s">
        <v>1950</v>
      </c>
      <c r="H9" s="20" t="s">
        <v>2145</v>
      </c>
      <c r="I9" s="20" t="s">
        <v>2146</v>
      </c>
      <c r="J9" s="20" t="s">
        <v>3427</v>
      </c>
      <c r="K9" s="21" t="s">
        <v>373</v>
      </c>
      <c r="L9" s="20"/>
      <c r="M9" s="20"/>
      <c r="N9" s="20"/>
      <c r="O9" s="20"/>
      <c r="P9" s="20"/>
      <c r="Q9" s="20" t="s">
        <v>3426</v>
      </c>
    </row>
    <row r="10" spans="1:17" ht="192" hidden="1" customHeight="1" x14ac:dyDescent="0.25">
      <c r="A10" s="20" t="s">
        <v>1902</v>
      </c>
      <c r="B10" s="20" t="s">
        <v>1902</v>
      </c>
      <c r="C10" s="20" t="s">
        <v>2141</v>
      </c>
      <c r="D10" s="20" t="s">
        <v>1187</v>
      </c>
      <c r="E10" s="20" t="s">
        <v>2142</v>
      </c>
      <c r="F10" s="20" t="s">
        <v>2012</v>
      </c>
      <c r="G10" s="20" t="s">
        <v>1950</v>
      </c>
      <c r="H10" s="20" t="s">
        <v>2147</v>
      </c>
      <c r="I10" s="20" t="s">
        <v>2148</v>
      </c>
      <c r="J10" s="20" t="s">
        <v>3427</v>
      </c>
      <c r="K10" s="21" t="s">
        <v>373</v>
      </c>
      <c r="L10" s="20"/>
      <c r="M10" s="20"/>
      <c r="N10" s="20"/>
      <c r="O10" s="20"/>
      <c r="P10" s="20"/>
      <c r="Q10" s="20" t="s">
        <v>3426</v>
      </c>
    </row>
    <row r="11" spans="1:17" ht="180" hidden="1" customHeight="1" x14ac:dyDescent="0.25">
      <c r="A11" s="20" t="s">
        <v>1902</v>
      </c>
      <c r="B11" s="20" t="s">
        <v>1902</v>
      </c>
      <c r="C11" s="20" t="s">
        <v>2141</v>
      </c>
      <c r="D11" s="20" t="s">
        <v>1187</v>
      </c>
      <c r="E11" s="20" t="s">
        <v>2142</v>
      </c>
      <c r="F11" s="20" t="s">
        <v>2012</v>
      </c>
      <c r="G11" s="20" t="s">
        <v>1950</v>
      </c>
      <c r="H11" s="20" t="s">
        <v>2149</v>
      </c>
      <c r="I11" s="20" t="s">
        <v>2150</v>
      </c>
      <c r="J11" s="20" t="s">
        <v>3427</v>
      </c>
      <c r="K11" s="21" t="s">
        <v>373</v>
      </c>
      <c r="L11" s="20"/>
      <c r="M11" s="20"/>
      <c r="N11" s="20"/>
      <c r="O11" s="20"/>
      <c r="P11" s="20"/>
      <c r="Q11" s="20" t="s">
        <v>3426</v>
      </c>
    </row>
    <row r="12" spans="1:17" ht="180" hidden="1" customHeight="1" x14ac:dyDescent="0.25">
      <c r="A12" s="20" t="s">
        <v>1902</v>
      </c>
      <c r="B12" s="20" t="s">
        <v>1902</v>
      </c>
      <c r="C12" s="20" t="s">
        <v>2151</v>
      </c>
      <c r="D12" s="20" t="s">
        <v>1101</v>
      </c>
      <c r="E12" s="20" t="s">
        <v>2152</v>
      </c>
      <c r="F12" s="20" t="s">
        <v>2012</v>
      </c>
      <c r="G12" s="20" t="s">
        <v>1950</v>
      </c>
      <c r="H12" s="20" t="s">
        <v>2153</v>
      </c>
      <c r="I12" s="20" t="s">
        <v>2154</v>
      </c>
      <c r="J12" s="20" t="s">
        <v>3427</v>
      </c>
      <c r="K12" s="21" t="s">
        <v>373</v>
      </c>
      <c r="L12" s="20"/>
      <c r="M12" s="20"/>
      <c r="N12" s="20"/>
      <c r="O12" s="20"/>
      <c r="P12" s="20"/>
      <c r="Q12" s="20" t="s">
        <v>3426</v>
      </c>
    </row>
    <row r="13" spans="1:17" ht="180" hidden="1" customHeight="1" x14ac:dyDescent="0.25">
      <c r="A13" s="20" t="s">
        <v>1902</v>
      </c>
      <c r="B13" s="20" t="s">
        <v>1902</v>
      </c>
      <c r="C13" s="20" t="s">
        <v>2151</v>
      </c>
      <c r="D13" s="20" t="s">
        <v>1101</v>
      </c>
      <c r="E13" s="20" t="s">
        <v>2152</v>
      </c>
      <c r="F13" s="20" t="s">
        <v>2012</v>
      </c>
      <c r="G13" s="20" t="s">
        <v>1950</v>
      </c>
      <c r="H13" s="20" t="s">
        <v>2155</v>
      </c>
      <c r="I13" s="20" t="s">
        <v>2156</v>
      </c>
      <c r="J13" s="20" t="s">
        <v>3427</v>
      </c>
      <c r="K13" s="21" t="s">
        <v>373</v>
      </c>
      <c r="L13" s="20"/>
      <c r="M13" s="20"/>
      <c r="N13" s="20"/>
      <c r="O13" s="20"/>
      <c r="P13" s="20"/>
      <c r="Q13" s="20" t="s">
        <v>3426</v>
      </c>
    </row>
    <row r="14" spans="1:17" ht="180" hidden="1" customHeight="1" x14ac:dyDescent="0.25">
      <c r="A14" s="20" t="s">
        <v>1902</v>
      </c>
      <c r="B14" s="20" t="s">
        <v>1902</v>
      </c>
      <c r="C14" s="20" t="s">
        <v>2151</v>
      </c>
      <c r="D14" s="20" t="s">
        <v>1101</v>
      </c>
      <c r="E14" s="20" t="s">
        <v>2152</v>
      </c>
      <c r="F14" s="20" t="s">
        <v>2012</v>
      </c>
      <c r="G14" s="20" t="s">
        <v>1950</v>
      </c>
      <c r="H14" s="20" t="s">
        <v>2157</v>
      </c>
      <c r="I14" s="20" t="s">
        <v>2158</v>
      </c>
      <c r="J14" s="20" t="s">
        <v>3427</v>
      </c>
      <c r="K14" s="21" t="s">
        <v>373</v>
      </c>
      <c r="L14" s="20"/>
      <c r="M14" s="20"/>
      <c r="N14" s="20"/>
      <c r="O14" s="20"/>
      <c r="P14" s="20"/>
      <c r="Q14" s="20" t="s">
        <v>3426</v>
      </c>
    </row>
    <row r="15" spans="1:17" ht="168" hidden="1" customHeight="1" x14ac:dyDescent="0.25">
      <c r="A15" s="20" t="s">
        <v>1902</v>
      </c>
      <c r="B15" s="20" t="s">
        <v>1902</v>
      </c>
      <c r="C15" s="20" t="s">
        <v>2151</v>
      </c>
      <c r="D15" s="20" t="s">
        <v>1101</v>
      </c>
      <c r="E15" s="20" t="s">
        <v>2152</v>
      </c>
      <c r="F15" s="20" t="s">
        <v>2012</v>
      </c>
      <c r="G15" s="20" t="s">
        <v>1950</v>
      </c>
      <c r="H15" s="20" t="s">
        <v>2159</v>
      </c>
      <c r="I15" s="20" t="s">
        <v>2160</v>
      </c>
      <c r="J15" s="20" t="s">
        <v>3427</v>
      </c>
      <c r="K15" s="21" t="s">
        <v>373</v>
      </c>
      <c r="L15" s="20"/>
      <c r="M15" s="20"/>
      <c r="N15" s="20"/>
      <c r="O15" s="20"/>
      <c r="P15" s="20"/>
      <c r="Q15" s="20" t="s">
        <v>3426</v>
      </c>
    </row>
    <row r="16" spans="1:17" ht="240" hidden="1" customHeight="1" x14ac:dyDescent="0.25">
      <c r="A16" s="20" t="s">
        <v>1902</v>
      </c>
      <c r="B16" s="20" t="s">
        <v>1902</v>
      </c>
      <c r="C16" s="20" t="s">
        <v>2161</v>
      </c>
      <c r="D16" s="20" t="s">
        <v>1187</v>
      </c>
      <c r="E16" s="20" t="s">
        <v>2162</v>
      </c>
      <c r="F16" s="20" t="s">
        <v>2012</v>
      </c>
      <c r="G16" s="20" t="s">
        <v>756</v>
      </c>
      <c r="H16" s="20" t="s">
        <v>2163</v>
      </c>
      <c r="I16" s="20" t="s">
        <v>2164</v>
      </c>
      <c r="J16" s="20" t="s">
        <v>3427</v>
      </c>
      <c r="K16" s="21" t="s">
        <v>373</v>
      </c>
      <c r="L16" s="20"/>
      <c r="M16" s="20"/>
      <c r="N16" s="20"/>
      <c r="O16" s="20"/>
      <c r="P16" s="20"/>
      <c r="Q16" s="20" t="s">
        <v>3426</v>
      </c>
    </row>
    <row r="17" spans="1:17" ht="168" hidden="1" customHeight="1" x14ac:dyDescent="0.25">
      <c r="A17" s="20" t="s">
        <v>1902</v>
      </c>
      <c r="B17" s="20" t="s">
        <v>1902</v>
      </c>
      <c r="C17" s="20" t="s">
        <v>2161</v>
      </c>
      <c r="D17" s="20" t="s">
        <v>1187</v>
      </c>
      <c r="E17" s="20" t="s">
        <v>2162</v>
      </c>
      <c r="F17" s="20" t="s">
        <v>2012</v>
      </c>
      <c r="G17" s="20" t="s">
        <v>756</v>
      </c>
      <c r="H17" s="20" t="s">
        <v>2165</v>
      </c>
      <c r="I17" s="20" t="s">
        <v>2166</v>
      </c>
      <c r="J17" s="20" t="s">
        <v>3427</v>
      </c>
      <c r="K17" s="21" t="s">
        <v>373</v>
      </c>
      <c r="L17" s="20"/>
      <c r="M17" s="20"/>
      <c r="N17" s="20"/>
      <c r="O17" s="20"/>
      <c r="P17" s="20"/>
      <c r="Q17" s="20" t="s">
        <v>3426</v>
      </c>
    </row>
    <row r="18" spans="1:17" ht="156" hidden="1" customHeight="1" x14ac:dyDescent="0.25">
      <c r="A18" s="20" t="s">
        <v>1902</v>
      </c>
      <c r="B18" s="20" t="s">
        <v>1902</v>
      </c>
      <c r="C18" s="20" t="s">
        <v>2161</v>
      </c>
      <c r="D18" s="20" t="s">
        <v>1187</v>
      </c>
      <c r="E18" s="20" t="s">
        <v>2162</v>
      </c>
      <c r="F18" s="20" t="s">
        <v>2012</v>
      </c>
      <c r="G18" s="20" t="s">
        <v>756</v>
      </c>
      <c r="H18" s="20" t="s">
        <v>2167</v>
      </c>
      <c r="I18" s="20" t="s">
        <v>2168</v>
      </c>
      <c r="J18" s="20" t="s">
        <v>3427</v>
      </c>
      <c r="K18" s="21" t="s">
        <v>373</v>
      </c>
      <c r="L18" s="20"/>
      <c r="M18" s="20"/>
      <c r="N18" s="20"/>
      <c r="O18" s="20"/>
      <c r="P18" s="20"/>
      <c r="Q18" s="20" t="s">
        <v>3426</v>
      </c>
    </row>
    <row r="19" spans="1:17" ht="216" hidden="1" customHeight="1" x14ac:dyDescent="0.25">
      <c r="A19" s="20" t="s">
        <v>1902</v>
      </c>
      <c r="B19" s="20" t="s">
        <v>1902</v>
      </c>
      <c r="C19" s="20" t="s">
        <v>2161</v>
      </c>
      <c r="D19" s="20" t="s">
        <v>1187</v>
      </c>
      <c r="E19" s="20" t="s">
        <v>2162</v>
      </c>
      <c r="F19" s="20" t="s">
        <v>2012</v>
      </c>
      <c r="G19" s="20" t="s">
        <v>756</v>
      </c>
      <c r="H19" s="20" t="s">
        <v>2169</v>
      </c>
      <c r="I19" s="20" t="s">
        <v>2170</v>
      </c>
      <c r="J19" s="20" t="s">
        <v>3427</v>
      </c>
      <c r="K19" s="21" t="s">
        <v>373</v>
      </c>
      <c r="L19" s="20"/>
      <c r="M19" s="20"/>
      <c r="N19" s="20"/>
      <c r="O19" s="20"/>
      <c r="P19" s="20"/>
      <c r="Q19" s="20" t="s">
        <v>3426</v>
      </c>
    </row>
    <row r="20" spans="1:17" ht="180" hidden="1" customHeight="1" x14ac:dyDescent="0.25">
      <c r="A20" s="20" t="s">
        <v>1902</v>
      </c>
      <c r="B20" s="20" t="s">
        <v>1902</v>
      </c>
      <c r="C20" s="20" t="s">
        <v>2174</v>
      </c>
      <c r="D20" s="20" t="s">
        <v>1091</v>
      </c>
      <c r="E20" s="20" t="s">
        <v>2175</v>
      </c>
      <c r="F20" s="20" t="s">
        <v>2176</v>
      </c>
      <c r="G20" s="20" t="s">
        <v>756</v>
      </c>
      <c r="H20" s="20" t="s">
        <v>2177</v>
      </c>
      <c r="I20" s="20" t="s">
        <v>2178</v>
      </c>
      <c r="J20" s="20" t="s">
        <v>3427</v>
      </c>
      <c r="K20" s="21" t="s">
        <v>373</v>
      </c>
      <c r="L20" s="20"/>
      <c r="M20" s="20"/>
      <c r="N20" s="20"/>
      <c r="O20" s="20"/>
      <c r="P20" s="20"/>
      <c r="Q20" s="20" t="s">
        <v>3426</v>
      </c>
    </row>
    <row r="21" spans="1:17" ht="192" hidden="1" customHeight="1" x14ac:dyDescent="0.25">
      <c r="A21" s="20" t="s">
        <v>1902</v>
      </c>
      <c r="B21" s="20" t="s">
        <v>1902</v>
      </c>
      <c r="C21" s="20" t="s">
        <v>2174</v>
      </c>
      <c r="D21" s="20" t="s">
        <v>1091</v>
      </c>
      <c r="E21" s="20" t="s">
        <v>2175</v>
      </c>
      <c r="F21" s="20" t="s">
        <v>2176</v>
      </c>
      <c r="G21" s="20" t="s">
        <v>756</v>
      </c>
      <c r="H21" s="20" t="s">
        <v>2179</v>
      </c>
      <c r="I21" s="20" t="s">
        <v>2180</v>
      </c>
      <c r="J21" s="20" t="s">
        <v>3427</v>
      </c>
      <c r="K21" s="21" t="s">
        <v>373</v>
      </c>
      <c r="L21" s="20"/>
      <c r="M21" s="20"/>
      <c r="N21" s="20"/>
      <c r="O21" s="20"/>
      <c r="P21" s="20"/>
      <c r="Q21" s="20" t="s">
        <v>3426</v>
      </c>
    </row>
    <row r="22" spans="1:17" ht="204" hidden="1" customHeight="1" x14ac:dyDescent="0.25">
      <c r="A22" s="20" t="s">
        <v>1902</v>
      </c>
      <c r="B22" s="20" t="s">
        <v>1902</v>
      </c>
      <c r="C22" s="20" t="s">
        <v>2174</v>
      </c>
      <c r="D22" s="20" t="s">
        <v>1091</v>
      </c>
      <c r="E22" s="20" t="s">
        <v>2175</v>
      </c>
      <c r="F22" s="20" t="s">
        <v>2176</v>
      </c>
      <c r="G22" s="20" t="s">
        <v>756</v>
      </c>
      <c r="H22" s="20" t="s">
        <v>2181</v>
      </c>
      <c r="I22" s="20" t="s">
        <v>2182</v>
      </c>
      <c r="J22" s="20" t="s">
        <v>3427</v>
      </c>
      <c r="K22" s="21" t="s">
        <v>373</v>
      </c>
      <c r="L22" s="20"/>
      <c r="M22" s="20"/>
      <c r="N22" s="20"/>
      <c r="O22" s="20"/>
      <c r="P22" s="20"/>
      <c r="Q22" s="20" t="s">
        <v>3426</v>
      </c>
    </row>
    <row r="23" spans="1:17" ht="180" hidden="1" customHeight="1" x14ac:dyDescent="0.25">
      <c r="A23" s="20" t="s">
        <v>1902</v>
      </c>
      <c r="B23" s="20" t="s">
        <v>1902</v>
      </c>
      <c r="C23" s="20" t="s">
        <v>2174</v>
      </c>
      <c r="D23" s="20" t="s">
        <v>1091</v>
      </c>
      <c r="E23" s="20" t="s">
        <v>2175</v>
      </c>
      <c r="F23" s="20" t="s">
        <v>2176</v>
      </c>
      <c r="G23" s="20" t="s">
        <v>756</v>
      </c>
      <c r="H23" s="20" t="s">
        <v>2183</v>
      </c>
      <c r="I23" s="20" t="s">
        <v>2184</v>
      </c>
      <c r="J23" s="20" t="s">
        <v>3427</v>
      </c>
      <c r="K23" s="21" t="s">
        <v>373</v>
      </c>
      <c r="L23" s="20"/>
      <c r="M23" s="20"/>
      <c r="N23" s="20"/>
      <c r="O23" s="20"/>
      <c r="P23" s="20"/>
      <c r="Q23" s="20" t="s">
        <v>3426</v>
      </c>
    </row>
    <row r="24" spans="1:17" ht="228" hidden="1" customHeight="1" x14ac:dyDescent="0.25">
      <c r="A24" s="20" t="s">
        <v>1902</v>
      </c>
      <c r="B24" s="20" t="s">
        <v>1902</v>
      </c>
      <c r="C24" s="20" t="s">
        <v>2174</v>
      </c>
      <c r="D24" s="20" t="s">
        <v>1091</v>
      </c>
      <c r="E24" s="20" t="s">
        <v>2175</v>
      </c>
      <c r="F24" s="20" t="s">
        <v>2176</v>
      </c>
      <c r="G24" s="20" t="s">
        <v>756</v>
      </c>
      <c r="H24" s="20" t="s">
        <v>2185</v>
      </c>
      <c r="I24" s="20" t="s">
        <v>2186</v>
      </c>
      <c r="J24" s="20" t="s">
        <v>3427</v>
      </c>
      <c r="K24" s="21" t="s">
        <v>373</v>
      </c>
      <c r="L24" s="20"/>
      <c r="M24" s="20"/>
      <c r="N24" s="20"/>
      <c r="O24" s="20"/>
      <c r="P24" s="20"/>
      <c r="Q24" s="20" t="s">
        <v>3426</v>
      </c>
    </row>
    <row r="25" spans="1:17" ht="216" hidden="1" customHeight="1" x14ac:dyDescent="0.25">
      <c r="A25" s="20" t="s">
        <v>1902</v>
      </c>
      <c r="B25" s="20" t="s">
        <v>1902</v>
      </c>
      <c r="C25" s="20" t="s">
        <v>2212</v>
      </c>
      <c r="D25" s="20" t="s">
        <v>1187</v>
      </c>
      <c r="E25" s="20" t="s">
        <v>2213</v>
      </c>
      <c r="F25" s="20" t="s">
        <v>2012</v>
      </c>
      <c r="G25" s="20" t="s">
        <v>1950</v>
      </c>
      <c r="H25" s="20" t="s">
        <v>2214</v>
      </c>
      <c r="I25" s="20" t="s">
        <v>2215</v>
      </c>
      <c r="J25" s="20" t="s">
        <v>3427</v>
      </c>
      <c r="K25" s="21" t="s">
        <v>373</v>
      </c>
      <c r="L25" s="20"/>
      <c r="M25" s="20"/>
      <c r="N25" s="20"/>
      <c r="O25" s="20"/>
      <c r="P25" s="20"/>
      <c r="Q25" s="20" t="s">
        <v>3426</v>
      </c>
    </row>
    <row r="26" spans="1:17" ht="204" hidden="1" customHeight="1" x14ac:dyDescent="0.25">
      <c r="A26" s="20" t="s">
        <v>1902</v>
      </c>
      <c r="B26" s="20" t="s">
        <v>1902</v>
      </c>
      <c r="C26" s="20" t="s">
        <v>2212</v>
      </c>
      <c r="D26" s="20" t="s">
        <v>1187</v>
      </c>
      <c r="E26" s="20" t="s">
        <v>2213</v>
      </c>
      <c r="F26" s="20" t="s">
        <v>2012</v>
      </c>
      <c r="G26" s="20" t="s">
        <v>1950</v>
      </c>
      <c r="H26" s="20" t="s">
        <v>2216</v>
      </c>
      <c r="I26" s="20" t="s">
        <v>2217</v>
      </c>
      <c r="J26" s="20" t="s">
        <v>3427</v>
      </c>
      <c r="K26" s="21" t="s">
        <v>373</v>
      </c>
      <c r="L26" s="20"/>
      <c r="M26" s="20"/>
      <c r="N26" s="20"/>
      <c r="O26" s="20"/>
      <c r="P26" s="20"/>
      <c r="Q26" s="20" t="s">
        <v>3426</v>
      </c>
    </row>
    <row r="27" spans="1:17" ht="192" hidden="1" customHeight="1" x14ac:dyDescent="0.25">
      <c r="A27" s="20" t="s">
        <v>1902</v>
      </c>
      <c r="B27" s="20" t="s">
        <v>1902</v>
      </c>
      <c r="C27" s="20" t="s">
        <v>2212</v>
      </c>
      <c r="D27" s="20" t="s">
        <v>1187</v>
      </c>
      <c r="E27" s="20" t="s">
        <v>2213</v>
      </c>
      <c r="F27" s="20" t="s">
        <v>2012</v>
      </c>
      <c r="G27" s="20" t="s">
        <v>1950</v>
      </c>
      <c r="H27" s="20" t="s">
        <v>2218</v>
      </c>
      <c r="I27" s="20" t="s">
        <v>2219</v>
      </c>
      <c r="J27" s="20" t="s">
        <v>3427</v>
      </c>
      <c r="K27" s="21" t="s">
        <v>373</v>
      </c>
      <c r="L27" s="20"/>
      <c r="M27" s="20"/>
      <c r="N27" s="20"/>
      <c r="O27" s="20"/>
      <c r="P27" s="20"/>
      <c r="Q27" s="20" t="s">
        <v>3426</v>
      </c>
    </row>
    <row r="28" spans="1:17" ht="192" hidden="1" customHeight="1" x14ac:dyDescent="0.25">
      <c r="A28" s="20" t="s">
        <v>1902</v>
      </c>
      <c r="B28" s="20" t="s">
        <v>1902</v>
      </c>
      <c r="C28" s="20" t="s">
        <v>2220</v>
      </c>
      <c r="D28" s="20" t="s">
        <v>1187</v>
      </c>
      <c r="E28" s="20" t="s">
        <v>2221</v>
      </c>
      <c r="F28" s="20" t="s">
        <v>2176</v>
      </c>
      <c r="G28" s="20" t="s">
        <v>115</v>
      </c>
      <c r="H28" s="20" t="s">
        <v>2222</v>
      </c>
      <c r="I28" s="20" t="s">
        <v>2223</v>
      </c>
      <c r="J28" s="20" t="s">
        <v>3427</v>
      </c>
      <c r="K28" s="21" t="s">
        <v>373</v>
      </c>
      <c r="L28" s="20"/>
      <c r="M28" s="20"/>
      <c r="N28" s="20"/>
      <c r="O28" s="20"/>
      <c r="P28" s="20"/>
      <c r="Q28" s="20" t="s">
        <v>3426</v>
      </c>
    </row>
    <row r="29" spans="1:17" ht="132" hidden="1" customHeight="1" x14ac:dyDescent="0.25">
      <c r="A29" s="20" t="s">
        <v>1902</v>
      </c>
      <c r="B29" s="20" t="s">
        <v>1902</v>
      </c>
      <c r="C29" s="20" t="s">
        <v>2220</v>
      </c>
      <c r="D29" s="20" t="s">
        <v>1187</v>
      </c>
      <c r="E29" s="20" t="s">
        <v>2221</v>
      </c>
      <c r="F29" s="20" t="s">
        <v>2176</v>
      </c>
      <c r="G29" s="20" t="s">
        <v>115</v>
      </c>
      <c r="H29" s="20" t="s">
        <v>2224</v>
      </c>
      <c r="I29" s="20" t="s">
        <v>2225</v>
      </c>
      <c r="J29" s="20" t="s">
        <v>3427</v>
      </c>
      <c r="K29" s="21" t="s">
        <v>373</v>
      </c>
      <c r="L29" s="20"/>
      <c r="M29" s="20"/>
      <c r="N29" s="20"/>
      <c r="O29" s="20"/>
      <c r="P29" s="20"/>
      <c r="Q29" s="20" t="s">
        <v>3426</v>
      </c>
    </row>
    <row r="30" spans="1:17" ht="180" hidden="1" customHeight="1" x14ac:dyDescent="0.25">
      <c r="A30" s="20" t="s">
        <v>1902</v>
      </c>
      <c r="B30" s="20" t="s">
        <v>1902</v>
      </c>
      <c r="C30" s="20" t="s">
        <v>2220</v>
      </c>
      <c r="D30" s="20" t="s">
        <v>1187</v>
      </c>
      <c r="E30" s="20" t="s">
        <v>2221</v>
      </c>
      <c r="F30" s="20" t="s">
        <v>2176</v>
      </c>
      <c r="G30" s="20" t="s">
        <v>115</v>
      </c>
      <c r="H30" s="20" t="s">
        <v>2226</v>
      </c>
      <c r="I30" s="20" t="s">
        <v>2227</v>
      </c>
      <c r="J30" s="20" t="s">
        <v>3427</v>
      </c>
      <c r="K30" s="21" t="s">
        <v>373</v>
      </c>
      <c r="L30" s="20"/>
      <c r="M30" s="20"/>
      <c r="N30" s="20"/>
      <c r="O30" s="20"/>
      <c r="P30" s="20"/>
      <c r="Q30" s="20" t="s">
        <v>3426</v>
      </c>
    </row>
    <row r="31" spans="1:17" ht="168" hidden="1" customHeight="1" x14ac:dyDescent="0.25">
      <c r="A31" s="20" t="s">
        <v>1902</v>
      </c>
      <c r="B31" s="20" t="s">
        <v>1902</v>
      </c>
      <c r="C31" s="20" t="s">
        <v>2220</v>
      </c>
      <c r="D31" s="20" t="s">
        <v>1187</v>
      </c>
      <c r="E31" s="20" t="s">
        <v>2221</v>
      </c>
      <c r="F31" s="20" t="s">
        <v>2176</v>
      </c>
      <c r="G31" s="20" t="s">
        <v>115</v>
      </c>
      <c r="H31" s="20" t="s">
        <v>2228</v>
      </c>
      <c r="I31" s="20" t="s">
        <v>2229</v>
      </c>
      <c r="J31" s="20" t="s">
        <v>3427</v>
      </c>
      <c r="K31" s="21" t="s">
        <v>373</v>
      </c>
      <c r="L31" s="20"/>
      <c r="M31" s="20"/>
      <c r="N31" s="20"/>
      <c r="O31" s="20"/>
      <c r="P31" s="20"/>
      <c r="Q31" s="20" t="s">
        <v>3426</v>
      </c>
    </row>
    <row r="32" spans="1:17" ht="192" hidden="1" customHeight="1" x14ac:dyDescent="0.25">
      <c r="A32" s="20" t="s">
        <v>1902</v>
      </c>
      <c r="B32" s="20" t="s">
        <v>1902</v>
      </c>
      <c r="C32" s="20" t="s">
        <v>2270</v>
      </c>
      <c r="D32" s="20" t="s">
        <v>1187</v>
      </c>
      <c r="E32" s="20" t="s">
        <v>2271</v>
      </c>
      <c r="F32" s="20" t="s">
        <v>2012</v>
      </c>
      <c r="G32" s="20" t="s">
        <v>115</v>
      </c>
      <c r="H32" s="20" t="s">
        <v>2272</v>
      </c>
      <c r="I32" s="20" t="s">
        <v>2273</v>
      </c>
      <c r="J32" s="20" t="s">
        <v>3427</v>
      </c>
      <c r="K32" s="21" t="s">
        <v>373</v>
      </c>
      <c r="L32" s="20"/>
      <c r="M32" s="20"/>
      <c r="N32" s="20"/>
      <c r="O32" s="20"/>
      <c r="P32" s="20"/>
      <c r="Q32" s="20" t="s">
        <v>3426</v>
      </c>
    </row>
    <row r="33" spans="1:17" ht="228" hidden="1" customHeight="1" x14ac:dyDescent="0.25">
      <c r="A33" s="20" t="s">
        <v>1902</v>
      </c>
      <c r="B33" s="20" t="s">
        <v>1902</v>
      </c>
      <c r="C33" s="20" t="s">
        <v>2270</v>
      </c>
      <c r="D33" s="20" t="s">
        <v>1187</v>
      </c>
      <c r="E33" s="20" t="s">
        <v>2271</v>
      </c>
      <c r="F33" s="20" t="s">
        <v>2012</v>
      </c>
      <c r="G33" s="20" t="s">
        <v>115</v>
      </c>
      <c r="H33" s="20" t="s">
        <v>2274</v>
      </c>
      <c r="I33" s="20" t="s">
        <v>2275</v>
      </c>
      <c r="J33" s="20" t="s">
        <v>3427</v>
      </c>
      <c r="K33" s="21" t="s">
        <v>373</v>
      </c>
      <c r="L33" s="20"/>
      <c r="M33" s="20"/>
      <c r="N33" s="20"/>
      <c r="O33" s="20"/>
      <c r="P33" s="20"/>
      <c r="Q33" s="20" t="s">
        <v>3426</v>
      </c>
    </row>
    <row r="34" spans="1:17" ht="96" hidden="1" customHeight="1" x14ac:dyDescent="0.25">
      <c r="A34" s="20" t="s">
        <v>1902</v>
      </c>
      <c r="B34" s="20" t="s">
        <v>1902</v>
      </c>
      <c r="C34" s="20" t="s">
        <v>2276</v>
      </c>
      <c r="D34" s="20" t="s">
        <v>1101</v>
      </c>
      <c r="E34" s="20" t="s">
        <v>2277</v>
      </c>
      <c r="F34" s="20" t="s">
        <v>2012</v>
      </c>
      <c r="G34" s="20" t="s">
        <v>756</v>
      </c>
      <c r="H34" s="20" t="s">
        <v>2278</v>
      </c>
      <c r="I34" s="20" t="s">
        <v>2279</v>
      </c>
      <c r="J34" s="20" t="s">
        <v>3427</v>
      </c>
      <c r="K34" s="21" t="s">
        <v>373</v>
      </c>
      <c r="L34" s="20"/>
      <c r="M34" s="20"/>
      <c r="N34" s="20"/>
      <c r="O34" s="20"/>
      <c r="P34" s="20"/>
      <c r="Q34" s="20" t="s">
        <v>3426</v>
      </c>
    </row>
    <row r="35" spans="1:17" ht="168" hidden="1" customHeight="1" x14ac:dyDescent="0.25">
      <c r="A35" s="20" t="s">
        <v>1902</v>
      </c>
      <c r="B35" s="20" t="s">
        <v>1902</v>
      </c>
      <c r="C35" s="20" t="s">
        <v>2276</v>
      </c>
      <c r="D35" s="20" t="s">
        <v>1101</v>
      </c>
      <c r="E35" s="20" t="s">
        <v>2277</v>
      </c>
      <c r="F35" s="20" t="s">
        <v>2012</v>
      </c>
      <c r="G35" s="20" t="s">
        <v>756</v>
      </c>
      <c r="H35" s="20" t="s">
        <v>2280</v>
      </c>
      <c r="I35" s="20" t="s">
        <v>2281</v>
      </c>
      <c r="J35" s="20" t="s">
        <v>3427</v>
      </c>
      <c r="K35" s="21" t="s">
        <v>373</v>
      </c>
      <c r="L35" s="20"/>
      <c r="M35" s="20"/>
      <c r="N35" s="20"/>
      <c r="O35" s="20"/>
      <c r="P35" s="20"/>
      <c r="Q35" s="20" t="s">
        <v>3426</v>
      </c>
    </row>
    <row r="36" spans="1:17" ht="228" hidden="1" customHeight="1" x14ac:dyDescent="0.25">
      <c r="A36" s="20" t="s">
        <v>1902</v>
      </c>
      <c r="B36" s="20" t="s">
        <v>1902</v>
      </c>
      <c r="C36" s="20" t="s">
        <v>2276</v>
      </c>
      <c r="D36" s="20" t="s">
        <v>1101</v>
      </c>
      <c r="E36" s="20" t="s">
        <v>2277</v>
      </c>
      <c r="F36" s="20" t="s">
        <v>2012</v>
      </c>
      <c r="G36" s="20" t="s">
        <v>756</v>
      </c>
      <c r="H36" s="20" t="s">
        <v>2282</v>
      </c>
      <c r="I36" s="20" t="s">
        <v>2283</v>
      </c>
      <c r="J36" s="20" t="s">
        <v>3427</v>
      </c>
      <c r="K36" s="21" t="s">
        <v>373</v>
      </c>
      <c r="L36" s="20"/>
      <c r="M36" s="20"/>
      <c r="N36" s="20"/>
      <c r="O36" s="20"/>
      <c r="P36" s="20"/>
      <c r="Q36" s="20" t="s">
        <v>3426</v>
      </c>
    </row>
    <row r="37" spans="1:17" ht="96" hidden="1" customHeight="1" x14ac:dyDescent="0.25">
      <c r="A37" s="20" t="s">
        <v>1902</v>
      </c>
      <c r="B37" s="20" t="s">
        <v>1902</v>
      </c>
      <c r="C37" s="20" t="s">
        <v>2276</v>
      </c>
      <c r="D37" s="20" t="s">
        <v>1101</v>
      </c>
      <c r="E37" s="20" t="s">
        <v>2277</v>
      </c>
      <c r="F37" s="20" t="s">
        <v>2012</v>
      </c>
      <c r="G37" s="20" t="s">
        <v>756</v>
      </c>
      <c r="H37" s="20" t="s">
        <v>2284</v>
      </c>
      <c r="I37" s="20" t="s">
        <v>2285</v>
      </c>
      <c r="J37" s="20" t="s">
        <v>3427</v>
      </c>
      <c r="K37" s="21" t="s">
        <v>373</v>
      </c>
      <c r="L37" s="20"/>
      <c r="M37" s="20"/>
      <c r="N37" s="20"/>
      <c r="O37" s="20"/>
      <c r="P37" s="20"/>
      <c r="Q37" s="20" t="s">
        <v>3426</v>
      </c>
    </row>
    <row r="38" spans="1:17" ht="144" customHeight="1" x14ac:dyDescent="0.25">
      <c r="A38" s="20" t="s">
        <v>2286</v>
      </c>
      <c r="B38" s="20" t="s">
        <v>2286</v>
      </c>
      <c r="C38" s="20" t="s">
        <v>2329</v>
      </c>
      <c r="D38" s="20"/>
      <c r="E38" s="20" t="s">
        <v>2330</v>
      </c>
      <c r="F38" s="20" t="s">
        <v>2176</v>
      </c>
      <c r="G38" s="20" t="s">
        <v>3428</v>
      </c>
      <c r="H38" s="20" t="s">
        <v>2331</v>
      </c>
      <c r="I38" s="20" t="s">
        <v>2332</v>
      </c>
      <c r="J38" s="20" t="s">
        <v>2333</v>
      </c>
      <c r="K38" s="21" t="s">
        <v>373</v>
      </c>
      <c r="L38" s="20"/>
      <c r="M38" s="20" t="s">
        <v>2334</v>
      </c>
      <c r="N38" s="20"/>
      <c r="O38" s="20"/>
      <c r="P38" s="20"/>
      <c r="Q38" s="20" t="s">
        <v>3426</v>
      </c>
    </row>
    <row r="39" spans="1:17" ht="144" customHeight="1" x14ac:dyDescent="0.25">
      <c r="A39" s="20" t="s">
        <v>2286</v>
      </c>
      <c r="B39" s="20" t="s">
        <v>2286</v>
      </c>
      <c r="C39" s="20" t="s">
        <v>2329</v>
      </c>
      <c r="D39" s="20"/>
      <c r="E39" s="20" t="s">
        <v>2330</v>
      </c>
      <c r="F39" s="20" t="s">
        <v>2176</v>
      </c>
      <c r="G39" s="20" t="s">
        <v>3428</v>
      </c>
      <c r="H39" s="20" t="s">
        <v>2335</v>
      </c>
      <c r="I39" s="20" t="s">
        <v>2336</v>
      </c>
      <c r="J39" s="20" t="s">
        <v>2333</v>
      </c>
      <c r="K39" s="21" t="s">
        <v>373</v>
      </c>
      <c r="L39" s="20"/>
      <c r="M39" s="20" t="s">
        <v>2334</v>
      </c>
      <c r="N39" s="20"/>
      <c r="O39" s="20"/>
      <c r="P39" s="20"/>
      <c r="Q39" s="20" t="s">
        <v>3426</v>
      </c>
    </row>
    <row r="40" spans="1:17" ht="144" customHeight="1" x14ac:dyDescent="0.25">
      <c r="A40" s="20" t="s">
        <v>2286</v>
      </c>
      <c r="B40" s="20" t="s">
        <v>2286</v>
      </c>
      <c r="C40" s="20" t="s">
        <v>2329</v>
      </c>
      <c r="D40" s="20"/>
      <c r="E40" s="20" t="s">
        <v>2330</v>
      </c>
      <c r="F40" s="20" t="s">
        <v>2176</v>
      </c>
      <c r="G40" s="20" t="s">
        <v>3428</v>
      </c>
      <c r="H40" s="20" t="s">
        <v>2338</v>
      </c>
      <c r="I40" s="20" t="s">
        <v>2339</v>
      </c>
      <c r="J40" s="20" t="s">
        <v>2333</v>
      </c>
      <c r="K40" s="21" t="s">
        <v>373</v>
      </c>
      <c r="L40" s="20"/>
      <c r="M40" s="20" t="s">
        <v>2334</v>
      </c>
      <c r="N40" s="20"/>
      <c r="O40" s="20"/>
      <c r="P40" s="20"/>
      <c r="Q40" s="20" t="s">
        <v>3426</v>
      </c>
    </row>
    <row r="41" spans="1:17" ht="144" customHeight="1" x14ac:dyDescent="0.25">
      <c r="A41" s="20" t="s">
        <v>2286</v>
      </c>
      <c r="B41" s="20" t="s">
        <v>2286</v>
      </c>
      <c r="C41" s="20" t="s">
        <v>2329</v>
      </c>
      <c r="D41" s="20"/>
      <c r="E41" s="20" t="s">
        <v>2330</v>
      </c>
      <c r="F41" s="20" t="s">
        <v>2176</v>
      </c>
      <c r="G41" s="20" t="s">
        <v>3428</v>
      </c>
      <c r="H41" s="20" t="s">
        <v>2340</v>
      </c>
      <c r="I41" s="20" t="s">
        <v>2341</v>
      </c>
      <c r="J41" s="20" t="s">
        <v>2333</v>
      </c>
      <c r="K41" s="21" t="s">
        <v>373</v>
      </c>
      <c r="L41" s="20"/>
      <c r="M41" s="20" t="s">
        <v>2334</v>
      </c>
      <c r="N41" s="20"/>
      <c r="O41" s="20"/>
      <c r="P41" s="20"/>
      <c r="Q41" s="20" t="s">
        <v>3426</v>
      </c>
    </row>
    <row r="42" spans="1:17" ht="144" customHeight="1" x14ac:dyDescent="0.25">
      <c r="A42" s="20" t="s">
        <v>2286</v>
      </c>
      <c r="B42" s="20" t="s">
        <v>2286</v>
      </c>
      <c r="C42" s="20" t="s">
        <v>2329</v>
      </c>
      <c r="D42" s="20"/>
      <c r="E42" s="20" t="s">
        <v>2330</v>
      </c>
      <c r="F42" s="20" t="s">
        <v>2176</v>
      </c>
      <c r="G42" s="20" t="s">
        <v>3428</v>
      </c>
      <c r="H42" s="20" t="s">
        <v>2342</v>
      </c>
      <c r="I42" s="20" t="s">
        <v>2343</v>
      </c>
      <c r="J42" s="20" t="s">
        <v>2333</v>
      </c>
      <c r="K42" s="21" t="s">
        <v>373</v>
      </c>
      <c r="L42" s="20"/>
      <c r="M42" s="20" t="s">
        <v>2334</v>
      </c>
      <c r="N42" s="20"/>
      <c r="O42" s="20"/>
      <c r="P42" s="20"/>
      <c r="Q42" s="20" t="s">
        <v>3426</v>
      </c>
    </row>
    <row r="43" spans="1:17" ht="144" customHeight="1" x14ac:dyDescent="0.25">
      <c r="A43" s="20" t="s">
        <v>2286</v>
      </c>
      <c r="B43" s="20" t="s">
        <v>2286</v>
      </c>
      <c r="C43" s="20" t="s">
        <v>2329</v>
      </c>
      <c r="D43" s="20"/>
      <c r="E43" s="20" t="s">
        <v>2330</v>
      </c>
      <c r="F43" s="20" t="s">
        <v>2176</v>
      </c>
      <c r="G43" s="20" t="s">
        <v>3428</v>
      </c>
      <c r="H43" s="20" t="s">
        <v>2344</v>
      </c>
      <c r="I43" s="20" t="s">
        <v>2345</v>
      </c>
      <c r="J43" s="20" t="s">
        <v>2333</v>
      </c>
      <c r="K43" s="21" t="s">
        <v>373</v>
      </c>
      <c r="L43" s="20"/>
      <c r="M43" s="20" t="s">
        <v>2334</v>
      </c>
      <c r="N43" s="20"/>
      <c r="O43" s="20"/>
      <c r="P43" s="20"/>
      <c r="Q43" s="20" t="s">
        <v>3426</v>
      </c>
    </row>
    <row r="44" spans="1:17" ht="132" customHeight="1" x14ac:dyDescent="0.25">
      <c r="A44" s="20" t="s">
        <v>2286</v>
      </c>
      <c r="B44" s="20" t="s">
        <v>2286</v>
      </c>
      <c r="C44" s="20" t="s">
        <v>2365</v>
      </c>
      <c r="D44" s="20"/>
      <c r="E44" s="20" t="s">
        <v>2366</v>
      </c>
      <c r="F44" s="20" t="s">
        <v>2176</v>
      </c>
      <c r="G44" s="20" t="s">
        <v>3429</v>
      </c>
      <c r="H44" s="20" t="s">
        <v>2367</v>
      </c>
      <c r="I44" s="20" t="s">
        <v>2368</v>
      </c>
      <c r="J44" s="20" t="s">
        <v>2333</v>
      </c>
      <c r="K44" s="21" t="s">
        <v>373</v>
      </c>
      <c r="L44" s="20"/>
      <c r="M44" s="20" t="s">
        <v>2334</v>
      </c>
      <c r="N44" s="20"/>
      <c r="O44" s="20"/>
      <c r="P44" s="20"/>
      <c r="Q44" s="20" t="s">
        <v>3426</v>
      </c>
    </row>
    <row r="45" spans="1:17" ht="132" customHeight="1" x14ac:dyDescent="0.25">
      <c r="A45" s="20" t="s">
        <v>2286</v>
      </c>
      <c r="B45" s="20" t="s">
        <v>2286</v>
      </c>
      <c r="C45" s="20" t="s">
        <v>2365</v>
      </c>
      <c r="D45" s="20"/>
      <c r="E45" s="20" t="s">
        <v>2366</v>
      </c>
      <c r="F45" s="20" t="s">
        <v>2176</v>
      </c>
      <c r="G45" s="20" t="s">
        <v>3429</v>
      </c>
      <c r="H45" s="20" t="s">
        <v>2371</v>
      </c>
      <c r="I45" s="20" t="s">
        <v>2372</v>
      </c>
      <c r="J45" s="20" t="s">
        <v>2333</v>
      </c>
      <c r="K45" s="21" t="s">
        <v>373</v>
      </c>
      <c r="L45" s="20"/>
      <c r="M45" s="20" t="s">
        <v>2334</v>
      </c>
      <c r="N45" s="20"/>
      <c r="O45" s="20"/>
      <c r="P45" s="20"/>
      <c r="Q45" s="20" t="s">
        <v>3426</v>
      </c>
    </row>
    <row r="46" spans="1:17" ht="204" customHeight="1" x14ac:dyDescent="0.25">
      <c r="A46" s="20" t="s">
        <v>2286</v>
      </c>
      <c r="B46" s="20" t="s">
        <v>2286</v>
      </c>
      <c r="C46" s="20" t="s">
        <v>2373</v>
      </c>
      <c r="D46" s="20"/>
      <c r="E46" s="20" t="s">
        <v>2374</v>
      </c>
      <c r="F46" s="20" t="s">
        <v>2176</v>
      </c>
      <c r="G46" s="20" t="s">
        <v>3429</v>
      </c>
      <c r="H46" s="20" t="s">
        <v>2375</v>
      </c>
      <c r="I46" s="20" t="s">
        <v>2376</v>
      </c>
      <c r="J46" s="20" t="s">
        <v>2333</v>
      </c>
      <c r="K46" s="21" t="s">
        <v>373</v>
      </c>
      <c r="L46" s="20"/>
      <c r="M46" s="20" t="s">
        <v>2334</v>
      </c>
      <c r="N46" s="20"/>
      <c r="O46" s="20"/>
      <c r="P46" s="20"/>
      <c r="Q46" s="20" t="s">
        <v>3426</v>
      </c>
    </row>
    <row r="47" spans="1:17" ht="204" customHeight="1" x14ac:dyDescent="0.25">
      <c r="A47" s="20" t="s">
        <v>2286</v>
      </c>
      <c r="B47" s="20" t="s">
        <v>2286</v>
      </c>
      <c r="C47" s="20" t="s">
        <v>2373</v>
      </c>
      <c r="D47" s="20"/>
      <c r="E47" s="20" t="s">
        <v>2374</v>
      </c>
      <c r="F47" s="20" t="s">
        <v>2176</v>
      </c>
      <c r="G47" s="20" t="s">
        <v>3429</v>
      </c>
      <c r="H47" s="20" t="s">
        <v>2377</v>
      </c>
      <c r="I47" s="20" t="s">
        <v>2378</v>
      </c>
      <c r="J47" s="20" t="s">
        <v>2333</v>
      </c>
      <c r="K47" s="21" t="s">
        <v>373</v>
      </c>
      <c r="L47" s="20"/>
      <c r="M47" s="20" t="s">
        <v>2334</v>
      </c>
      <c r="N47" s="20"/>
      <c r="O47" s="20"/>
      <c r="P47" s="20"/>
      <c r="Q47" s="20" t="s">
        <v>3426</v>
      </c>
    </row>
    <row r="48" spans="1:17" ht="204" customHeight="1" x14ac:dyDescent="0.25">
      <c r="A48" s="20" t="s">
        <v>2286</v>
      </c>
      <c r="B48" s="20" t="s">
        <v>2286</v>
      </c>
      <c r="C48" s="20" t="s">
        <v>2373</v>
      </c>
      <c r="D48" s="20"/>
      <c r="E48" s="20" t="s">
        <v>2374</v>
      </c>
      <c r="F48" s="20" t="s">
        <v>2176</v>
      </c>
      <c r="G48" s="20" t="s">
        <v>3429</v>
      </c>
      <c r="H48" s="20" t="s">
        <v>2379</v>
      </c>
      <c r="I48" s="20" t="s">
        <v>2380</v>
      </c>
      <c r="J48" s="20" t="s">
        <v>2333</v>
      </c>
      <c r="K48" s="21" t="s">
        <v>373</v>
      </c>
      <c r="L48" s="20"/>
      <c r="M48" s="20" t="s">
        <v>2334</v>
      </c>
      <c r="N48" s="20"/>
      <c r="O48" s="20"/>
      <c r="P48" s="20"/>
      <c r="Q48" s="20" t="s">
        <v>3426</v>
      </c>
    </row>
    <row r="49" spans="1:17" ht="204" customHeight="1" x14ac:dyDescent="0.25">
      <c r="A49" s="20" t="s">
        <v>2286</v>
      </c>
      <c r="B49" s="20" t="s">
        <v>2286</v>
      </c>
      <c r="C49" s="20" t="s">
        <v>2373</v>
      </c>
      <c r="D49" s="20"/>
      <c r="E49" s="20" t="s">
        <v>2374</v>
      </c>
      <c r="F49" s="20" t="s">
        <v>2176</v>
      </c>
      <c r="G49" s="20" t="s">
        <v>3429</v>
      </c>
      <c r="H49" s="20" t="s">
        <v>2381</v>
      </c>
      <c r="I49" s="20" t="s">
        <v>2382</v>
      </c>
      <c r="J49" s="20" t="s">
        <v>2333</v>
      </c>
      <c r="K49" s="21" t="s">
        <v>373</v>
      </c>
      <c r="L49" s="20"/>
      <c r="M49" s="20" t="s">
        <v>2334</v>
      </c>
      <c r="N49" s="20"/>
      <c r="O49" s="20"/>
      <c r="P49" s="20"/>
      <c r="Q49" s="20" t="s">
        <v>3426</v>
      </c>
    </row>
    <row r="50" spans="1:17" ht="204" customHeight="1" x14ac:dyDescent="0.25">
      <c r="A50" s="20" t="s">
        <v>2286</v>
      </c>
      <c r="B50" s="20" t="s">
        <v>2286</v>
      </c>
      <c r="C50" s="20" t="s">
        <v>2373</v>
      </c>
      <c r="D50" s="20"/>
      <c r="E50" s="20" t="s">
        <v>2374</v>
      </c>
      <c r="F50" s="20" t="s">
        <v>2176</v>
      </c>
      <c r="G50" s="20" t="s">
        <v>3429</v>
      </c>
      <c r="H50" s="20" t="s">
        <v>2383</v>
      </c>
      <c r="I50" s="20" t="s">
        <v>2384</v>
      </c>
      <c r="J50" s="20" t="s">
        <v>2333</v>
      </c>
      <c r="K50" s="21" t="s">
        <v>373</v>
      </c>
      <c r="L50" s="20"/>
      <c r="M50" s="20" t="s">
        <v>2334</v>
      </c>
      <c r="N50" s="20"/>
      <c r="O50" s="20" t="s">
        <v>2328</v>
      </c>
      <c r="P50" s="20"/>
      <c r="Q50" s="20" t="s">
        <v>3426</v>
      </c>
    </row>
    <row r="51" spans="1:17" ht="204" customHeight="1" x14ac:dyDescent="0.25">
      <c r="A51" s="20" t="s">
        <v>2286</v>
      </c>
      <c r="B51" s="20" t="s">
        <v>2286</v>
      </c>
      <c r="C51" s="20" t="s">
        <v>2373</v>
      </c>
      <c r="D51" s="20"/>
      <c r="E51" s="20" t="s">
        <v>2374</v>
      </c>
      <c r="F51" s="20" t="s">
        <v>2176</v>
      </c>
      <c r="G51" s="20" t="s">
        <v>3429</v>
      </c>
      <c r="H51" s="20" t="s">
        <v>2385</v>
      </c>
      <c r="I51" s="20" t="s">
        <v>2386</v>
      </c>
      <c r="J51" s="20" t="s">
        <v>2333</v>
      </c>
      <c r="K51" s="21" t="s">
        <v>373</v>
      </c>
      <c r="L51" s="20"/>
      <c r="M51" s="20" t="s">
        <v>2334</v>
      </c>
      <c r="N51" s="20"/>
      <c r="O51" s="20"/>
      <c r="P51" s="20"/>
      <c r="Q51" s="20" t="s">
        <v>3426</v>
      </c>
    </row>
    <row r="52" spans="1:17" ht="204" customHeight="1" x14ac:dyDescent="0.25">
      <c r="A52" s="20" t="s">
        <v>2286</v>
      </c>
      <c r="B52" s="20" t="s">
        <v>2286</v>
      </c>
      <c r="C52" s="20" t="s">
        <v>2373</v>
      </c>
      <c r="D52" s="20"/>
      <c r="E52" s="20" t="s">
        <v>2374</v>
      </c>
      <c r="F52" s="20" t="s">
        <v>2176</v>
      </c>
      <c r="G52" s="20" t="s">
        <v>3429</v>
      </c>
      <c r="H52" s="20" t="s">
        <v>2387</v>
      </c>
      <c r="I52" s="20" t="s">
        <v>2388</v>
      </c>
      <c r="J52" s="20" t="s">
        <v>2333</v>
      </c>
      <c r="K52" s="21" t="s">
        <v>373</v>
      </c>
      <c r="L52" s="20"/>
      <c r="M52" s="20" t="s">
        <v>2334</v>
      </c>
      <c r="N52" s="20"/>
      <c r="O52" s="20" t="s">
        <v>2389</v>
      </c>
      <c r="P52" s="20"/>
      <c r="Q52" s="20" t="s">
        <v>3426</v>
      </c>
    </row>
    <row r="53" spans="1:17" ht="204" customHeight="1" x14ac:dyDescent="0.25">
      <c r="A53" s="20" t="s">
        <v>2286</v>
      </c>
      <c r="B53" s="22"/>
      <c r="C53" s="23" t="s">
        <v>2845</v>
      </c>
      <c r="D53" s="23" t="s">
        <v>2176</v>
      </c>
      <c r="E53" s="24" t="s">
        <v>2846</v>
      </c>
      <c r="F53" s="23"/>
      <c r="G53" s="23"/>
      <c r="H53" s="23" t="s">
        <v>2847</v>
      </c>
      <c r="I53" s="25" t="s">
        <v>3430</v>
      </c>
      <c r="J53" s="23" t="s">
        <v>3431</v>
      </c>
      <c r="K53" s="26" t="s">
        <v>623</v>
      </c>
      <c r="L53" s="27"/>
      <c r="M53" s="28" t="s">
        <v>2334</v>
      </c>
      <c r="N53" s="20"/>
      <c r="O53" s="20"/>
      <c r="P53" s="20"/>
      <c r="Q53" s="29" t="s">
        <v>3432</v>
      </c>
    </row>
    <row r="54" spans="1:17" ht="96" hidden="1" customHeight="1" x14ac:dyDescent="0.25">
      <c r="A54" s="20" t="s">
        <v>601</v>
      </c>
      <c r="B54" s="20" t="s">
        <v>601</v>
      </c>
      <c r="C54" s="20" t="s">
        <v>608</v>
      </c>
      <c r="D54" s="20" t="s">
        <v>603</v>
      </c>
      <c r="E54" s="20" t="s">
        <v>609</v>
      </c>
      <c r="F54" s="20" t="s">
        <v>3433</v>
      </c>
      <c r="G54" s="20" t="s">
        <v>610</v>
      </c>
      <c r="H54" s="20" t="s">
        <v>620</v>
      </c>
      <c r="I54" s="20" t="s">
        <v>621</v>
      </c>
      <c r="J54" s="20" t="s">
        <v>2333</v>
      </c>
      <c r="K54" s="21" t="s">
        <v>373</v>
      </c>
      <c r="L54" s="20"/>
      <c r="M54" s="20" t="s">
        <v>624</v>
      </c>
      <c r="N54" s="20"/>
      <c r="O54" s="20"/>
      <c r="P54" s="20"/>
      <c r="Q54" s="20"/>
    </row>
    <row r="56" spans="1:17" ht="21" x14ac:dyDescent="0.35">
      <c r="A56" s="18" t="s">
        <v>3434</v>
      </c>
      <c r="B56" s="18"/>
      <c r="C56" s="18"/>
    </row>
    <row r="57" spans="1:17" ht="45" x14ac:dyDescent="0.25">
      <c r="A57" s="19" t="s">
        <v>0</v>
      </c>
      <c r="B57" s="19" t="s">
        <v>2</v>
      </c>
      <c r="C57" s="19" t="s">
        <v>7</v>
      </c>
    </row>
    <row r="58" spans="1:17" ht="36" x14ac:dyDescent="0.25">
      <c r="A58" s="20" t="s">
        <v>1902</v>
      </c>
      <c r="B58" s="20" t="s">
        <v>1997</v>
      </c>
      <c r="C58" s="20" t="s">
        <v>1999</v>
      </c>
    </row>
    <row r="59" spans="1:17" ht="36" x14ac:dyDescent="0.25">
      <c r="A59" s="20" t="s">
        <v>1902</v>
      </c>
      <c r="B59" s="20" t="s">
        <v>1997</v>
      </c>
      <c r="C59" s="20" t="s">
        <v>2002</v>
      </c>
    </row>
    <row r="60" spans="1:17" ht="36" x14ac:dyDescent="0.25">
      <c r="A60" s="20" t="s">
        <v>1902</v>
      </c>
      <c r="B60" s="20" t="s">
        <v>1997</v>
      </c>
      <c r="C60" s="20" t="s">
        <v>2004</v>
      </c>
    </row>
    <row r="61" spans="1:17" ht="36" x14ac:dyDescent="0.25">
      <c r="A61" s="20" t="s">
        <v>1902</v>
      </c>
      <c r="B61" s="20" t="s">
        <v>1997</v>
      </c>
      <c r="C61" s="20" t="s">
        <v>2006</v>
      </c>
    </row>
    <row r="62" spans="1:17" ht="36" x14ac:dyDescent="0.25">
      <c r="A62" s="20" t="s">
        <v>1902</v>
      </c>
      <c r="B62" s="20" t="s">
        <v>1997</v>
      </c>
      <c r="C62" s="20" t="s">
        <v>2008</v>
      </c>
    </row>
    <row r="63" spans="1:17" ht="36" x14ac:dyDescent="0.25">
      <c r="A63" s="20" t="s">
        <v>1902</v>
      </c>
      <c r="B63" s="20" t="s">
        <v>2141</v>
      </c>
      <c r="C63" s="20" t="s">
        <v>2143</v>
      </c>
    </row>
    <row r="64" spans="1:17" ht="36" x14ac:dyDescent="0.25">
      <c r="A64" s="20" t="s">
        <v>1902</v>
      </c>
      <c r="B64" s="20" t="s">
        <v>2141</v>
      </c>
      <c r="C64" s="20" t="s">
        <v>2145</v>
      </c>
    </row>
    <row r="65" spans="1:3" ht="36" x14ac:dyDescent="0.25">
      <c r="A65" s="20" t="s">
        <v>1902</v>
      </c>
      <c r="B65" s="20" t="s">
        <v>2141</v>
      </c>
      <c r="C65" s="20" t="s">
        <v>2147</v>
      </c>
    </row>
    <row r="66" spans="1:3" ht="36" x14ac:dyDescent="0.25">
      <c r="A66" s="20" t="s">
        <v>1902</v>
      </c>
      <c r="B66" s="20" t="s">
        <v>2141</v>
      </c>
      <c r="C66" s="20" t="s">
        <v>2149</v>
      </c>
    </row>
    <row r="67" spans="1:3" ht="36" x14ac:dyDescent="0.25">
      <c r="A67" s="20" t="s">
        <v>1902</v>
      </c>
      <c r="B67" s="20" t="s">
        <v>2151</v>
      </c>
      <c r="C67" s="20" t="s">
        <v>2153</v>
      </c>
    </row>
    <row r="68" spans="1:3" ht="36" x14ac:dyDescent="0.25">
      <c r="A68" s="20" t="s">
        <v>1902</v>
      </c>
      <c r="B68" s="20" t="s">
        <v>2151</v>
      </c>
      <c r="C68" s="20" t="s">
        <v>2155</v>
      </c>
    </row>
    <row r="69" spans="1:3" ht="36" x14ac:dyDescent="0.25">
      <c r="A69" s="20" t="s">
        <v>1902</v>
      </c>
      <c r="B69" s="20" t="s">
        <v>2151</v>
      </c>
      <c r="C69" s="20" t="s">
        <v>2157</v>
      </c>
    </row>
    <row r="70" spans="1:3" ht="36" x14ac:dyDescent="0.25">
      <c r="A70" s="20" t="s">
        <v>1902</v>
      </c>
      <c r="B70" s="20" t="s">
        <v>2151</v>
      </c>
      <c r="C70" s="20" t="s">
        <v>2159</v>
      </c>
    </row>
    <row r="71" spans="1:3" ht="36" x14ac:dyDescent="0.25">
      <c r="A71" s="20" t="s">
        <v>1902</v>
      </c>
      <c r="B71" s="20" t="s">
        <v>2161</v>
      </c>
      <c r="C71" s="20" t="s">
        <v>2163</v>
      </c>
    </row>
    <row r="72" spans="1:3" ht="36" x14ac:dyDescent="0.25">
      <c r="A72" s="20" t="s">
        <v>1902</v>
      </c>
      <c r="B72" s="20" t="s">
        <v>2161</v>
      </c>
      <c r="C72" s="20" t="s">
        <v>2165</v>
      </c>
    </row>
    <row r="73" spans="1:3" ht="36" x14ac:dyDescent="0.25">
      <c r="A73" s="20" t="s">
        <v>1902</v>
      </c>
      <c r="B73" s="20" t="s">
        <v>2161</v>
      </c>
      <c r="C73" s="20" t="s">
        <v>2167</v>
      </c>
    </row>
    <row r="74" spans="1:3" ht="36" x14ac:dyDescent="0.25">
      <c r="A74" s="20" t="s">
        <v>1902</v>
      </c>
      <c r="B74" s="20" t="s">
        <v>2161</v>
      </c>
      <c r="C74" s="20" t="s">
        <v>2169</v>
      </c>
    </row>
    <row r="75" spans="1:3" ht="36" x14ac:dyDescent="0.25">
      <c r="A75" s="20" t="s">
        <v>1902</v>
      </c>
      <c r="B75" s="20" t="s">
        <v>2174</v>
      </c>
      <c r="C75" s="20" t="s">
        <v>2177</v>
      </c>
    </row>
    <row r="76" spans="1:3" ht="36" x14ac:dyDescent="0.25">
      <c r="A76" s="20" t="s">
        <v>1902</v>
      </c>
      <c r="B76" s="20" t="s">
        <v>2174</v>
      </c>
      <c r="C76" s="20" t="s">
        <v>2179</v>
      </c>
    </row>
    <row r="77" spans="1:3" ht="36" x14ac:dyDescent="0.25">
      <c r="A77" s="20" t="s">
        <v>1902</v>
      </c>
      <c r="B77" s="20" t="s">
        <v>2174</v>
      </c>
      <c r="C77" s="20" t="s">
        <v>2181</v>
      </c>
    </row>
    <row r="78" spans="1:3" ht="36" x14ac:dyDescent="0.25">
      <c r="A78" s="20" t="s">
        <v>1902</v>
      </c>
      <c r="B78" s="20" t="s">
        <v>2174</v>
      </c>
      <c r="C78" s="20" t="s">
        <v>2183</v>
      </c>
    </row>
    <row r="79" spans="1:3" ht="36" x14ac:dyDescent="0.25">
      <c r="A79" s="20" t="s">
        <v>1902</v>
      </c>
      <c r="B79" s="20" t="s">
        <v>2174</v>
      </c>
      <c r="C79" s="20" t="s">
        <v>2185</v>
      </c>
    </row>
    <row r="80" spans="1:3" ht="36" x14ac:dyDescent="0.25">
      <c r="A80" s="20" t="s">
        <v>1902</v>
      </c>
      <c r="B80" s="20" t="s">
        <v>2212</v>
      </c>
      <c r="C80" s="20" t="s">
        <v>2214</v>
      </c>
    </row>
    <row r="81" spans="1:3" ht="36" x14ac:dyDescent="0.25">
      <c r="A81" s="20" t="s">
        <v>1902</v>
      </c>
      <c r="B81" s="20" t="s">
        <v>2212</v>
      </c>
      <c r="C81" s="20" t="s">
        <v>2216</v>
      </c>
    </row>
    <row r="82" spans="1:3" ht="36" x14ac:dyDescent="0.25">
      <c r="A82" s="20" t="s">
        <v>1902</v>
      </c>
      <c r="B82" s="20" t="s">
        <v>2212</v>
      </c>
      <c r="C82" s="20" t="s">
        <v>2218</v>
      </c>
    </row>
    <row r="83" spans="1:3" ht="36" x14ac:dyDescent="0.25">
      <c r="A83" s="20" t="s">
        <v>1902</v>
      </c>
      <c r="B83" s="20" t="s">
        <v>2220</v>
      </c>
      <c r="C83" s="20" t="s">
        <v>2222</v>
      </c>
    </row>
    <row r="84" spans="1:3" ht="36" x14ac:dyDescent="0.25">
      <c r="A84" s="20" t="s">
        <v>1902</v>
      </c>
      <c r="B84" s="20" t="s">
        <v>2220</v>
      </c>
      <c r="C84" s="20" t="s">
        <v>2224</v>
      </c>
    </row>
    <row r="85" spans="1:3" ht="36" x14ac:dyDescent="0.25">
      <c r="A85" s="20" t="s">
        <v>1902</v>
      </c>
      <c r="B85" s="20" t="s">
        <v>2220</v>
      </c>
      <c r="C85" s="20" t="s">
        <v>2226</v>
      </c>
    </row>
    <row r="86" spans="1:3" ht="36" x14ac:dyDescent="0.25">
      <c r="A86" s="20" t="s">
        <v>1902</v>
      </c>
      <c r="B86" s="20" t="s">
        <v>2220</v>
      </c>
      <c r="C86" s="20" t="s">
        <v>2228</v>
      </c>
    </row>
    <row r="87" spans="1:3" ht="36" x14ac:dyDescent="0.25">
      <c r="A87" s="20" t="s">
        <v>1902</v>
      </c>
      <c r="B87" s="20" t="s">
        <v>2270</v>
      </c>
      <c r="C87" s="20" t="s">
        <v>2272</v>
      </c>
    </row>
    <row r="88" spans="1:3" ht="36" x14ac:dyDescent="0.25">
      <c r="A88" s="20" t="s">
        <v>1902</v>
      </c>
      <c r="B88" s="20" t="s">
        <v>2270</v>
      </c>
      <c r="C88" s="20" t="s">
        <v>2274</v>
      </c>
    </row>
    <row r="89" spans="1:3" ht="36" x14ac:dyDescent="0.25">
      <c r="A89" s="20" t="s">
        <v>1902</v>
      </c>
      <c r="B89" s="20" t="s">
        <v>2276</v>
      </c>
      <c r="C89" s="20" t="s">
        <v>2278</v>
      </c>
    </row>
    <row r="90" spans="1:3" ht="36" x14ac:dyDescent="0.25">
      <c r="A90" s="20" t="s">
        <v>1902</v>
      </c>
      <c r="B90" s="20" t="s">
        <v>2276</v>
      </c>
      <c r="C90" s="20" t="s">
        <v>2280</v>
      </c>
    </row>
    <row r="91" spans="1:3" ht="36" x14ac:dyDescent="0.25">
      <c r="A91" s="20" t="s">
        <v>1902</v>
      </c>
      <c r="B91" s="20" t="s">
        <v>2276</v>
      </c>
      <c r="C91" s="20" t="s">
        <v>2282</v>
      </c>
    </row>
    <row r="92" spans="1:3" ht="36" x14ac:dyDescent="0.25">
      <c r="A92" s="20" t="s">
        <v>1902</v>
      </c>
      <c r="B92" s="20" t="s">
        <v>2276</v>
      </c>
      <c r="C92" s="20" t="s">
        <v>2284</v>
      </c>
    </row>
    <row r="93" spans="1:3" ht="24" x14ac:dyDescent="0.25">
      <c r="A93" s="20" t="s">
        <v>2286</v>
      </c>
      <c r="B93" s="20" t="s">
        <v>2329</v>
      </c>
      <c r="C93" s="20" t="s">
        <v>2331</v>
      </c>
    </row>
    <row r="94" spans="1:3" ht="24" x14ac:dyDescent="0.25">
      <c r="A94" s="20" t="s">
        <v>2286</v>
      </c>
      <c r="B94" s="20" t="s">
        <v>2329</v>
      </c>
      <c r="C94" s="20" t="s">
        <v>2335</v>
      </c>
    </row>
    <row r="95" spans="1:3" ht="24" x14ac:dyDescent="0.25">
      <c r="A95" s="20" t="s">
        <v>2286</v>
      </c>
      <c r="B95" s="20" t="s">
        <v>2329</v>
      </c>
      <c r="C95" s="20" t="s">
        <v>2338</v>
      </c>
    </row>
    <row r="96" spans="1:3" ht="24" x14ac:dyDescent="0.25">
      <c r="A96" s="20" t="s">
        <v>2286</v>
      </c>
      <c r="B96" s="20" t="s">
        <v>2329</v>
      </c>
      <c r="C96" s="20" t="s">
        <v>2340</v>
      </c>
    </row>
    <row r="97" spans="1:3" ht="24" x14ac:dyDescent="0.25">
      <c r="A97" s="20" t="s">
        <v>2286</v>
      </c>
      <c r="B97" s="20" t="s">
        <v>2329</v>
      </c>
      <c r="C97" s="20" t="s">
        <v>2342</v>
      </c>
    </row>
    <row r="98" spans="1:3" ht="24" x14ac:dyDescent="0.25">
      <c r="A98" s="20" t="s">
        <v>2286</v>
      </c>
      <c r="B98" s="20" t="s">
        <v>2329</v>
      </c>
      <c r="C98" s="20" t="s">
        <v>2344</v>
      </c>
    </row>
    <row r="99" spans="1:3" ht="24" x14ac:dyDescent="0.25">
      <c r="A99" s="20" t="s">
        <v>2286</v>
      </c>
      <c r="B99" s="20" t="s">
        <v>2365</v>
      </c>
      <c r="C99" s="20" t="s">
        <v>2367</v>
      </c>
    </row>
    <row r="100" spans="1:3" ht="24" x14ac:dyDescent="0.25">
      <c r="A100" s="20" t="s">
        <v>2286</v>
      </c>
      <c r="B100" s="20" t="s">
        <v>2365</v>
      </c>
      <c r="C100" s="20" t="s">
        <v>2371</v>
      </c>
    </row>
    <row r="101" spans="1:3" ht="24" x14ac:dyDescent="0.25">
      <c r="A101" s="20" t="s">
        <v>2286</v>
      </c>
      <c r="B101" s="20" t="s">
        <v>2373</v>
      </c>
      <c r="C101" s="20" t="s">
        <v>2375</v>
      </c>
    </row>
    <row r="102" spans="1:3" ht="24" x14ac:dyDescent="0.25">
      <c r="A102" s="20" t="s">
        <v>2286</v>
      </c>
      <c r="B102" s="20" t="s">
        <v>2373</v>
      </c>
      <c r="C102" s="20" t="s">
        <v>2377</v>
      </c>
    </row>
    <row r="103" spans="1:3" ht="24" x14ac:dyDescent="0.25">
      <c r="A103" s="20" t="s">
        <v>2286</v>
      </c>
      <c r="B103" s="20" t="s">
        <v>2373</v>
      </c>
      <c r="C103" s="20" t="s">
        <v>2379</v>
      </c>
    </row>
    <row r="104" spans="1:3" ht="24" x14ac:dyDescent="0.25">
      <c r="A104" s="20" t="s">
        <v>2286</v>
      </c>
      <c r="B104" s="20" t="s">
        <v>2373</v>
      </c>
      <c r="C104" s="20" t="s">
        <v>2381</v>
      </c>
    </row>
    <row r="105" spans="1:3" ht="24" x14ac:dyDescent="0.25">
      <c r="A105" s="20" t="s">
        <v>2286</v>
      </c>
      <c r="B105" s="20" t="s">
        <v>2373</v>
      </c>
      <c r="C105" s="20" t="s">
        <v>2383</v>
      </c>
    </row>
    <row r="106" spans="1:3" ht="24" x14ac:dyDescent="0.25">
      <c r="A106" s="20" t="s">
        <v>2286</v>
      </c>
      <c r="B106" s="20" t="s">
        <v>2373</v>
      </c>
      <c r="C106" s="20" t="s">
        <v>2385</v>
      </c>
    </row>
    <row r="107" spans="1:3" ht="24" x14ac:dyDescent="0.25">
      <c r="A107" s="20" t="s">
        <v>2286</v>
      </c>
      <c r="B107" s="20" t="s">
        <v>2373</v>
      </c>
      <c r="C107" s="20" t="s">
        <v>2387</v>
      </c>
    </row>
    <row r="108" spans="1:3" ht="27" x14ac:dyDescent="0.25">
      <c r="A108" s="20" t="s">
        <v>2286</v>
      </c>
      <c r="B108" s="23" t="s">
        <v>2845</v>
      </c>
      <c r="C108" s="23" t="s">
        <v>2847</v>
      </c>
    </row>
    <row r="109" spans="1:3" ht="27" x14ac:dyDescent="0.25">
      <c r="A109" s="20" t="s">
        <v>2286</v>
      </c>
      <c r="B109" s="23" t="s">
        <v>2845</v>
      </c>
      <c r="C109" s="23" t="s">
        <v>3435</v>
      </c>
    </row>
    <row r="110" spans="1:3" ht="27" x14ac:dyDescent="0.25">
      <c r="A110" s="20" t="s">
        <v>2286</v>
      </c>
      <c r="B110" s="23" t="s">
        <v>2845</v>
      </c>
      <c r="C110" s="23" t="s">
        <v>3436</v>
      </c>
    </row>
    <row r="111" spans="1:3" ht="27" x14ac:dyDescent="0.25">
      <c r="A111" s="20" t="s">
        <v>2286</v>
      </c>
      <c r="B111" s="23" t="s">
        <v>2845</v>
      </c>
      <c r="C111" s="23" t="s">
        <v>3437</v>
      </c>
    </row>
    <row r="112" spans="1:3" ht="27" x14ac:dyDescent="0.25">
      <c r="A112" s="20" t="s">
        <v>2286</v>
      </c>
      <c r="B112" s="23" t="s">
        <v>2845</v>
      </c>
      <c r="C112" s="23" t="s">
        <v>3438</v>
      </c>
    </row>
    <row r="113" spans="1:3" ht="27" x14ac:dyDescent="0.25">
      <c r="A113" s="20" t="s">
        <v>2286</v>
      </c>
      <c r="B113" s="23" t="s">
        <v>2845</v>
      </c>
      <c r="C113" s="23" t="s">
        <v>3439</v>
      </c>
    </row>
    <row r="114" spans="1:3" ht="27" x14ac:dyDescent="0.25">
      <c r="A114" s="20" t="s">
        <v>2286</v>
      </c>
      <c r="B114" s="23" t="s">
        <v>2845</v>
      </c>
      <c r="C114" s="23" t="s">
        <v>3440</v>
      </c>
    </row>
    <row r="115" spans="1:3" ht="27" x14ac:dyDescent="0.25">
      <c r="A115" s="20" t="s">
        <v>2286</v>
      </c>
      <c r="B115" s="23" t="s">
        <v>2845</v>
      </c>
      <c r="C115" s="23" t="s">
        <v>3441</v>
      </c>
    </row>
    <row r="116" spans="1:3" ht="27" x14ac:dyDescent="0.25">
      <c r="A116" s="20" t="s">
        <v>2286</v>
      </c>
      <c r="B116" s="23" t="s">
        <v>2845</v>
      </c>
      <c r="C116" s="23" t="s">
        <v>3442</v>
      </c>
    </row>
    <row r="117" spans="1:3" ht="27" x14ac:dyDescent="0.25">
      <c r="A117" s="20" t="s">
        <v>2286</v>
      </c>
      <c r="B117" s="23" t="s">
        <v>2845</v>
      </c>
      <c r="C117" s="23" t="s">
        <v>3443</v>
      </c>
    </row>
    <row r="118" spans="1:3" ht="27" x14ac:dyDescent="0.25">
      <c r="A118" s="20" t="s">
        <v>2286</v>
      </c>
      <c r="B118" s="23" t="s">
        <v>2845</v>
      </c>
      <c r="C118" s="23" t="s">
        <v>3444</v>
      </c>
    </row>
    <row r="119" spans="1:3" ht="24" x14ac:dyDescent="0.25">
      <c r="A119" s="20" t="s">
        <v>601</v>
      </c>
      <c r="B119" s="20" t="s">
        <v>608</v>
      </c>
      <c r="C119" s="20" t="s">
        <v>620</v>
      </c>
    </row>
    <row r="122" spans="1:3" x14ac:dyDescent="0.25">
      <c r="A122" s="19" t="s">
        <v>2</v>
      </c>
    </row>
    <row r="123" spans="1:3" x14ac:dyDescent="0.25">
      <c r="A123" s="20" t="s">
        <v>1997</v>
      </c>
    </row>
    <row r="124" spans="1:3" x14ac:dyDescent="0.25">
      <c r="A124" s="20" t="s">
        <v>2141</v>
      </c>
    </row>
    <row r="125" spans="1:3" x14ac:dyDescent="0.25">
      <c r="A125" s="20" t="s">
        <v>2151</v>
      </c>
    </row>
    <row r="126" spans="1:3" x14ac:dyDescent="0.25">
      <c r="A126" s="20" t="s">
        <v>2161</v>
      </c>
    </row>
    <row r="127" spans="1:3" x14ac:dyDescent="0.25">
      <c r="A127" s="20" t="s">
        <v>2174</v>
      </c>
    </row>
    <row r="128" spans="1:3" x14ac:dyDescent="0.25">
      <c r="A128" s="20" t="s">
        <v>2212</v>
      </c>
    </row>
    <row r="129" spans="1:1" x14ac:dyDescent="0.25">
      <c r="A129" s="20" t="s">
        <v>2220</v>
      </c>
    </row>
    <row r="130" spans="1:1" x14ac:dyDescent="0.25">
      <c r="A130" s="20" t="s">
        <v>2270</v>
      </c>
    </row>
    <row r="131" spans="1:1" x14ac:dyDescent="0.25">
      <c r="A131" s="20" t="s">
        <v>2276</v>
      </c>
    </row>
    <row r="132" spans="1:1" x14ac:dyDescent="0.25">
      <c r="A132" s="20" t="s">
        <v>2329</v>
      </c>
    </row>
    <row r="133" spans="1:1" x14ac:dyDescent="0.25">
      <c r="A133" s="20" t="s">
        <v>2365</v>
      </c>
    </row>
    <row r="134" spans="1:1" x14ac:dyDescent="0.25">
      <c r="A134" s="20" t="s">
        <v>2373</v>
      </c>
    </row>
    <row r="135" spans="1:1" x14ac:dyDescent="0.25">
      <c r="A135" s="20" t="s">
        <v>2845</v>
      </c>
    </row>
    <row r="136" spans="1:1" x14ac:dyDescent="0.25">
      <c r="A136" s="20" t="s">
        <v>608</v>
      </c>
    </row>
  </sheetData>
  <autoFilter ref="A2:Q54" xr:uid="{C49A3B8D-7E22-466B-80FC-832F48DC4BF0}">
    <filterColumn colId="0">
      <filters>
        <filter val="Registro Información"/>
      </filters>
    </filterColumn>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8963D-9629-44D2-80B2-4D283B2F433C}">
  <dimension ref="A1:S85"/>
  <sheetViews>
    <sheetView workbookViewId="0">
      <selection activeCell="H9" sqref="H9"/>
    </sheetView>
  </sheetViews>
  <sheetFormatPr baseColWidth="10" defaultRowHeight="15" x14ac:dyDescent="0.25"/>
  <cols>
    <col min="8" max="8" width="81.140625" customWidth="1"/>
  </cols>
  <sheetData>
    <row r="1" spans="1:19" x14ac:dyDescent="0.25">
      <c r="A1" s="30" t="s">
        <v>0</v>
      </c>
      <c r="B1" s="31" t="s">
        <v>3445</v>
      </c>
      <c r="C1" s="30" t="s">
        <v>5</v>
      </c>
      <c r="D1" s="30" t="s">
        <v>4</v>
      </c>
      <c r="E1" s="30" t="s">
        <v>3446</v>
      </c>
      <c r="F1" s="31" t="s">
        <v>3445</v>
      </c>
      <c r="G1" s="31" t="s">
        <v>3447</v>
      </c>
      <c r="H1" s="32" t="s">
        <v>3448</v>
      </c>
      <c r="I1" s="30" t="s">
        <v>3449</v>
      </c>
      <c r="J1" s="33" t="s">
        <v>2855</v>
      </c>
      <c r="K1" s="34" t="s">
        <v>3450</v>
      </c>
      <c r="L1" s="34" t="s">
        <v>11</v>
      </c>
      <c r="M1" s="34" t="s">
        <v>13</v>
      </c>
      <c r="N1" s="30" t="s">
        <v>3451</v>
      </c>
      <c r="O1" s="35" t="s">
        <v>15</v>
      </c>
      <c r="P1" s="36" t="s">
        <v>11</v>
      </c>
      <c r="Q1" s="30" t="s">
        <v>3452</v>
      </c>
      <c r="R1" s="37" t="s">
        <v>3453</v>
      </c>
      <c r="S1" s="38" t="s">
        <v>3454</v>
      </c>
    </row>
    <row r="2" spans="1:19" ht="40.5" x14ac:dyDescent="0.25">
      <c r="A2" s="39" t="s">
        <v>19</v>
      </c>
      <c r="B2" s="40" t="s">
        <v>58</v>
      </c>
      <c r="C2" s="41"/>
      <c r="D2" s="39"/>
      <c r="E2" s="39"/>
      <c r="F2" s="42" t="s">
        <v>63</v>
      </c>
      <c r="G2" s="39"/>
      <c r="H2" s="43" t="s">
        <v>64</v>
      </c>
      <c r="I2" s="41" t="s">
        <v>28</v>
      </c>
      <c r="J2" s="44"/>
      <c r="K2" s="45">
        <v>46230</v>
      </c>
      <c r="L2" s="46" t="s">
        <v>66</v>
      </c>
      <c r="M2" s="47"/>
      <c r="N2" s="48" t="s">
        <v>68</v>
      </c>
      <c r="O2" s="40"/>
      <c r="P2" s="48"/>
      <c r="Q2" s="45">
        <v>46227</v>
      </c>
      <c r="R2" s="48"/>
      <c r="S2" s="39" t="s">
        <v>3455</v>
      </c>
    </row>
    <row r="3" spans="1:19" ht="40.5" x14ac:dyDescent="0.25">
      <c r="A3" s="49" t="s">
        <v>19</v>
      </c>
      <c r="B3" s="23"/>
      <c r="C3" s="50"/>
      <c r="D3" s="49"/>
      <c r="E3" s="49"/>
      <c r="F3" s="50" t="s">
        <v>69</v>
      </c>
      <c r="G3" s="49"/>
      <c r="H3" s="24" t="s">
        <v>70</v>
      </c>
      <c r="I3" s="50" t="s">
        <v>28</v>
      </c>
      <c r="J3" s="51"/>
      <c r="K3" s="52">
        <v>46230</v>
      </c>
      <c r="L3" s="53" t="s">
        <v>66</v>
      </c>
      <c r="M3" s="54"/>
      <c r="N3" s="23" t="s">
        <v>68</v>
      </c>
      <c r="O3" s="23"/>
      <c r="P3" s="23"/>
      <c r="Q3" s="52">
        <v>46227</v>
      </c>
      <c r="R3" s="23"/>
      <c r="S3" s="49" t="s">
        <v>3455</v>
      </c>
    </row>
    <row r="4" spans="1:19" ht="40.5" x14ac:dyDescent="0.25">
      <c r="A4" s="39" t="s">
        <v>19</v>
      </c>
      <c r="B4" s="40"/>
      <c r="C4" s="41"/>
      <c r="D4" s="39"/>
      <c r="E4" s="39"/>
      <c r="F4" s="42" t="s">
        <v>71</v>
      </c>
      <c r="G4" s="39"/>
      <c r="H4" s="43" t="s">
        <v>72</v>
      </c>
      <c r="I4" s="41" t="s">
        <v>28</v>
      </c>
      <c r="J4" s="44"/>
      <c r="K4" s="45">
        <v>46230</v>
      </c>
      <c r="L4" s="46" t="s">
        <v>66</v>
      </c>
      <c r="M4" s="47"/>
      <c r="N4" s="48" t="s">
        <v>68</v>
      </c>
      <c r="O4" s="40"/>
      <c r="P4" s="48"/>
      <c r="Q4" s="45">
        <v>46227</v>
      </c>
      <c r="R4" s="48"/>
      <c r="S4" s="39" t="s">
        <v>3455</v>
      </c>
    </row>
    <row r="5" spans="1:19" ht="40.5" x14ac:dyDescent="0.25">
      <c r="A5" s="39" t="s">
        <v>19</v>
      </c>
      <c r="B5" s="40"/>
      <c r="C5" s="41"/>
      <c r="D5" s="39"/>
      <c r="E5" s="39"/>
      <c r="F5" s="42" t="s">
        <v>73</v>
      </c>
      <c r="G5" s="39"/>
      <c r="H5" s="43" t="s">
        <v>74</v>
      </c>
      <c r="I5" s="41" t="s">
        <v>28</v>
      </c>
      <c r="J5" s="44"/>
      <c r="K5" s="45">
        <v>46230</v>
      </c>
      <c r="L5" s="46" t="s">
        <v>66</v>
      </c>
      <c r="M5" s="47"/>
      <c r="N5" s="48" t="s">
        <v>68</v>
      </c>
      <c r="O5" s="40"/>
      <c r="P5" s="48"/>
      <c r="Q5" s="45">
        <v>46227</v>
      </c>
      <c r="R5" s="48"/>
      <c r="S5" s="39" t="s">
        <v>3455</v>
      </c>
    </row>
    <row r="6" spans="1:19" ht="40.5" x14ac:dyDescent="0.25">
      <c r="A6" s="39" t="s">
        <v>19</v>
      </c>
      <c r="B6" s="40"/>
      <c r="C6" s="41"/>
      <c r="D6" s="39"/>
      <c r="E6" s="39"/>
      <c r="F6" s="42" t="s">
        <v>75</v>
      </c>
      <c r="G6" s="39"/>
      <c r="H6" s="43" t="s">
        <v>76</v>
      </c>
      <c r="I6" s="41" t="s">
        <v>28</v>
      </c>
      <c r="J6" s="44"/>
      <c r="K6" s="45">
        <v>46230</v>
      </c>
      <c r="L6" s="46" t="s">
        <v>66</v>
      </c>
      <c r="M6" s="47"/>
      <c r="N6" s="48" t="s">
        <v>68</v>
      </c>
      <c r="O6" s="40"/>
      <c r="P6" s="48"/>
      <c r="Q6" s="45">
        <v>46227</v>
      </c>
      <c r="R6" s="48"/>
      <c r="S6" s="39" t="s">
        <v>3455</v>
      </c>
    </row>
    <row r="7" spans="1:19" ht="40.5" x14ac:dyDescent="0.25">
      <c r="A7" s="39" t="s">
        <v>19</v>
      </c>
      <c r="B7" s="40"/>
      <c r="C7" s="41"/>
      <c r="D7" s="39"/>
      <c r="E7" s="39"/>
      <c r="F7" s="42" t="s">
        <v>412</v>
      </c>
      <c r="G7" s="39"/>
      <c r="H7" s="55" t="s">
        <v>413</v>
      </c>
      <c r="I7" s="41" t="s">
        <v>28</v>
      </c>
      <c r="J7" s="44"/>
      <c r="K7" s="45">
        <v>46154</v>
      </c>
      <c r="L7" s="46" t="s">
        <v>66</v>
      </c>
      <c r="M7" s="47"/>
      <c r="N7" s="48" t="s">
        <v>414</v>
      </c>
      <c r="O7" s="40"/>
      <c r="P7" s="48"/>
      <c r="Q7" s="45">
        <v>46227</v>
      </c>
      <c r="R7" s="43"/>
      <c r="S7" s="39" t="s">
        <v>3456</v>
      </c>
    </row>
    <row r="8" spans="1:19" ht="40.5" x14ac:dyDescent="0.25">
      <c r="A8" s="39" t="s">
        <v>19</v>
      </c>
      <c r="B8" s="40"/>
      <c r="C8" s="41" t="s">
        <v>419</v>
      </c>
      <c r="D8" s="39"/>
      <c r="E8" s="39"/>
      <c r="F8" s="42" t="s">
        <v>415</v>
      </c>
      <c r="G8" s="39"/>
      <c r="H8" s="55" t="s">
        <v>416</v>
      </c>
      <c r="I8" s="41" t="s">
        <v>28</v>
      </c>
      <c r="J8" s="44"/>
      <c r="K8" s="45">
        <v>46154</v>
      </c>
      <c r="L8" s="46" t="s">
        <v>66</v>
      </c>
      <c r="M8" s="47"/>
      <c r="N8" s="48" t="s">
        <v>414</v>
      </c>
      <c r="O8" s="40"/>
      <c r="P8" s="48"/>
      <c r="Q8" s="45">
        <v>46227</v>
      </c>
      <c r="R8" s="56"/>
      <c r="S8" s="39" t="s">
        <v>3456</v>
      </c>
    </row>
    <row r="9" spans="1:19" ht="121.5" x14ac:dyDescent="0.25">
      <c r="A9" s="49" t="s">
        <v>19</v>
      </c>
      <c r="B9" s="23" t="s">
        <v>417</v>
      </c>
      <c r="C9" s="50"/>
      <c r="D9" s="49"/>
      <c r="E9" s="49"/>
      <c r="F9" s="50" t="s">
        <v>421</v>
      </c>
      <c r="G9" s="49"/>
      <c r="H9" s="24" t="s">
        <v>3457</v>
      </c>
      <c r="I9" s="50" t="s">
        <v>28</v>
      </c>
      <c r="J9" s="51"/>
      <c r="K9" s="52">
        <v>46230</v>
      </c>
      <c r="L9" s="53" t="s">
        <v>66</v>
      </c>
      <c r="M9" s="54"/>
      <c r="N9" s="57" t="s">
        <v>423</v>
      </c>
      <c r="O9" s="58" t="s">
        <v>126</v>
      </c>
      <c r="P9" s="23"/>
      <c r="Q9" s="52">
        <v>46227</v>
      </c>
      <c r="R9" s="23" t="s">
        <v>424</v>
      </c>
      <c r="S9" s="49" t="s">
        <v>3455</v>
      </c>
    </row>
    <row r="10" spans="1:19" ht="67.5" x14ac:dyDescent="0.25">
      <c r="A10" s="39" t="s">
        <v>19</v>
      </c>
      <c r="B10" s="40"/>
      <c r="C10" s="41"/>
      <c r="D10" s="39"/>
      <c r="E10" s="39"/>
      <c r="F10" s="42" t="s">
        <v>425</v>
      </c>
      <c r="G10" s="39"/>
      <c r="H10" s="55" t="s">
        <v>426</v>
      </c>
      <c r="I10" s="41" t="s">
        <v>28</v>
      </c>
      <c r="J10" s="44"/>
      <c r="K10" s="45">
        <v>46230</v>
      </c>
      <c r="L10" s="46" t="s">
        <v>66</v>
      </c>
      <c r="M10" s="47"/>
      <c r="N10" s="48" t="s">
        <v>3458</v>
      </c>
      <c r="O10" s="40"/>
      <c r="P10" s="48"/>
      <c r="Q10" s="45">
        <v>46227</v>
      </c>
      <c r="R10" s="48" t="s">
        <v>3459</v>
      </c>
      <c r="S10" s="49" t="s">
        <v>3455</v>
      </c>
    </row>
    <row r="11" spans="1:19" ht="67.5" x14ac:dyDescent="0.25">
      <c r="A11" s="39" t="s">
        <v>19</v>
      </c>
      <c r="B11" s="40"/>
      <c r="C11" s="41"/>
      <c r="D11" s="39"/>
      <c r="E11" s="39"/>
      <c r="F11" s="42" t="s">
        <v>429</v>
      </c>
      <c r="G11" s="39"/>
      <c r="H11" s="55" t="s">
        <v>430</v>
      </c>
      <c r="I11" s="41" t="s">
        <v>28</v>
      </c>
      <c r="J11" s="44"/>
      <c r="K11" s="45">
        <v>46230</v>
      </c>
      <c r="L11" s="46" t="s">
        <v>66</v>
      </c>
      <c r="M11" s="47"/>
      <c r="N11" s="48" t="s">
        <v>3458</v>
      </c>
      <c r="O11" s="40"/>
      <c r="P11" s="48"/>
      <c r="Q11" s="45">
        <v>46227</v>
      </c>
      <c r="R11" s="48" t="s">
        <v>3459</v>
      </c>
      <c r="S11" s="49" t="s">
        <v>3455</v>
      </c>
    </row>
    <row r="12" spans="1:19" ht="67.5" x14ac:dyDescent="0.25">
      <c r="A12" s="39" t="s">
        <v>19</v>
      </c>
      <c r="B12" s="40"/>
      <c r="C12" s="41"/>
      <c r="D12" s="39"/>
      <c r="E12" s="39"/>
      <c r="F12" s="42" t="s">
        <v>431</v>
      </c>
      <c r="G12" s="39"/>
      <c r="H12" s="55" t="s">
        <v>3460</v>
      </c>
      <c r="I12" s="41" t="s">
        <v>28</v>
      </c>
      <c r="J12" s="44"/>
      <c r="K12" s="45">
        <v>46230</v>
      </c>
      <c r="L12" s="46" t="s">
        <v>66</v>
      </c>
      <c r="M12" s="47"/>
      <c r="N12" s="48" t="s">
        <v>3458</v>
      </c>
      <c r="O12" s="40"/>
      <c r="P12" s="48"/>
      <c r="Q12" s="45">
        <v>46227</v>
      </c>
      <c r="R12" s="48" t="s">
        <v>3459</v>
      </c>
      <c r="S12" s="49" t="s">
        <v>3455</v>
      </c>
    </row>
    <row r="13" spans="1:19" ht="67.5" x14ac:dyDescent="0.25">
      <c r="A13" s="39" t="s">
        <v>19</v>
      </c>
      <c r="B13" s="40"/>
      <c r="C13" s="41" t="s">
        <v>19</v>
      </c>
      <c r="D13" s="39"/>
      <c r="E13" s="39"/>
      <c r="F13" s="42" t="s">
        <v>433</v>
      </c>
      <c r="G13" s="39"/>
      <c r="H13" s="55" t="s">
        <v>434</v>
      </c>
      <c r="I13" s="41" t="s">
        <v>28</v>
      </c>
      <c r="J13" s="44"/>
      <c r="K13" s="45">
        <v>46230</v>
      </c>
      <c r="L13" s="46" t="s">
        <v>66</v>
      </c>
      <c r="M13" s="47"/>
      <c r="N13" s="48" t="s">
        <v>3458</v>
      </c>
      <c r="O13" s="40"/>
      <c r="P13" s="48"/>
      <c r="Q13" s="45">
        <v>46227</v>
      </c>
      <c r="R13" s="48" t="s">
        <v>3459</v>
      </c>
      <c r="S13" s="49" t="s">
        <v>3455</v>
      </c>
    </row>
    <row r="14" spans="1:19" ht="175.5" x14ac:dyDescent="0.25">
      <c r="A14" s="49" t="s">
        <v>19</v>
      </c>
      <c r="B14" s="23" t="s">
        <v>490</v>
      </c>
      <c r="C14" s="50"/>
      <c r="D14" s="49"/>
      <c r="E14" s="49"/>
      <c r="F14" s="50" t="s">
        <v>492</v>
      </c>
      <c r="G14" s="49"/>
      <c r="H14" s="24" t="s">
        <v>3461</v>
      </c>
      <c r="I14" s="50" t="s">
        <v>28</v>
      </c>
      <c r="J14" s="51"/>
      <c r="K14" s="52">
        <v>46203</v>
      </c>
      <c r="L14" s="53" t="s">
        <v>66</v>
      </c>
      <c r="M14" s="54"/>
      <c r="N14" s="59" t="s">
        <v>3462</v>
      </c>
      <c r="O14" s="23"/>
      <c r="P14" s="23"/>
      <c r="Q14" s="60" t="s">
        <v>3463</v>
      </c>
      <c r="R14" s="61"/>
      <c r="S14" s="49" t="s">
        <v>3456</v>
      </c>
    </row>
    <row r="15" spans="1:19" ht="108" x14ac:dyDescent="0.25">
      <c r="A15" s="39" t="s">
        <v>19</v>
      </c>
      <c r="B15" s="40"/>
      <c r="C15" s="41"/>
      <c r="D15" s="39"/>
      <c r="E15" s="39"/>
      <c r="F15" s="42" t="s">
        <v>580</v>
      </c>
      <c r="G15" s="39"/>
      <c r="H15" s="43" t="s">
        <v>581</v>
      </c>
      <c r="I15" s="41" t="s">
        <v>28</v>
      </c>
      <c r="J15" s="44" t="s">
        <v>126</v>
      </c>
      <c r="K15" s="62" t="s">
        <v>3464</v>
      </c>
      <c r="L15" s="46" t="s">
        <v>66</v>
      </c>
      <c r="M15" s="47"/>
      <c r="N15" s="63" t="s">
        <v>579</v>
      </c>
      <c r="O15" s="40"/>
      <c r="P15" s="40"/>
      <c r="Q15" s="62" t="s">
        <v>3464</v>
      </c>
      <c r="R15" s="48"/>
      <c r="S15" s="49" t="s">
        <v>3465</v>
      </c>
    </row>
    <row r="16" spans="1:19" ht="108" x14ac:dyDescent="0.25">
      <c r="A16" s="39" t="s">
        <v>19</v>
      </c>
      <c r="B16" s="40"/>
      <c r="C16" s="41"/>
      <c r="D16" s="39"/>
      <c r="E16" s="39"/>
      <c r="F16" s="42" t="s">
        <v>582</v>
      </c>
      <c r="G16" s="39"/>
      <c r="H16" s="43" t="s">
        <v>583</v>
      </c>
      <c r="I16" s="41" t="s">
        <v>28</v>
      </c>
      <c r="J16" s="44" t="s">
        <v>126</v>
      </c>
      <c r="K16" s="62" t="s">
        <v>3464</v>
      </c>
      <c r="L16" s="46" t="s">
        <v>66</v>
      </c>
      <c r="M16" s="47"/>
      <c r="N16" s="63" t="s">
        <v>579</v>
      </c>
      <c r="O16" s="40"/>
      <c r="P16" s="40"/>
      <c r="Q16" s="62" t="s">
        <v>3464</v>
      </c>
      <c r="R16" s="48"/>
      <c r="S16" s="49" t="s">
        <v>3465</v>
      </c>
    </row>
    <row r="17" spans="1:19" ht="108" x14ac:dyDescent="0.25">
      <c r="A17" s="39" t="s">
        <v>19</v>
      </c>
      <c r="B17" s="40"/>
      <c r="C17" s="39"/>
      <c r="D17" s="39"/>
      <c r="E17" s="39"/>
      <c r="F17" s="42" t="s">
        <v>584</v>
      </c>
      <c r="G17" s="39"/>
      <c r="H17" s="43" t="s">
        <v>585</v>
      </c>
      <c r="I17" s="41" t="s">
        <v>28</v>
      </c>
      <c r="J17" s="44" t="s">
        <v>126</v>
      </c>
      <c r="K17" s="62" t="s">
        <v>3464</v>
      </c>
      <c r="L17" s="46" t="s">
        <v>66</v>
      </c>
      <c r="M17" s="47"/>
      <c r="N17" s="63" t="s">
        <v>579</v>
      </c>
      <c r="O17" s="40"/>
      <c r="P17" s="40"/>
      <c r="Q17" s="62" t="s">
        <v>3464</v>
      </c>
      <c r="R17" s="48"/>
      <c r="S17" s="49" t="s">
        <v>3465</v>
      </c>
    </row>
    <row r="18" spans="1:19" ht="108" x14ac:dyDescent="0.25">
      <c r="A18" s="49" t="s">
        <v>1477</v>
      </c>
      <c r="B18" s="23" t="s">
        <v>1518</v>
      </c>
      <c r="C18" s="50" t="s">
        <v>1480</v>
      </c>
      <c r="D18" s="64" t="s">
        <v>1519</v>
      </c>
      <c r="E18" s="49"/>
      <c r="F18" s="23" t="s">
        <v>1520</v>
      </c>
      <c r="G18" s="49"/>
      <c r="H18" s="65" t="s">
        <v>1521</v>
      </c>
      <c r="I18" s="50" t="s">
        <v>28</v>
      </c>
      <c r="J18" s="51" t="s">
        <v>126</v>
      </c>
      <c r="K18" s="52">
        <v>46227</v>
      </c>
      <c r="L18" s="53" t="s">
        <v>66</v>
      </c>
      <c r="M18" s="54"/>
      <c r="N18" s="23" t="s">
        <v>3466</v>
      </c>
      <c r="O18" s="23"/>
      <c r="P18" s="23"/>
      <c r="Q18" s="52">
        <v>46227</v>
      </c>
      <c r="R18" s="23"/>
      <c r="S18" s="49" t="s">
        <v>3455</v>
      </c>
    </row>
    <row r="19" spans="1:19" ht="108" x14ac:dyDescent="0.25">
      <c r="A19" s="49" t="s">
        <v>1477</v>
      </c>
      <c r="B19" s="23"/>
      <c r="C19" s="50"/>
      <c r="D19" s="66"/>
      <c r="E19" s="49"/>
      <c r="F19" s="23" t="s">
        <v>1525</v>
      </c>
      <c r="G19" s="49"/>
      <c r="H19" s="65" t="s">
        <v>1526</v>
      </c>
      <c r="I19" s="50" t="s">
        <v>28</v>
      </c>
      <c r="J19" s="51" t="s">
        <v>126</v>
      </c>
      <c r="K19" s="52">
        <v>46227</v>
      </c>
      <c r="L19" s="53" t="s">
        <v>66</v>
      </c>
      <c r="M19" s="54"/>
      <c r="N19" s="23" t="s">
        <v>3466</v>
      </c>
      <c r="O19" s="23"/>
      <c r="P19" s="23"/>
      <c r="Q19" s="52">
        <v>46227</v>
      </c>
      <c r="R19" s="23"/>
      <c r="S19" s="49" t="s">
        <v>3455</v>
      </c>
    </row>
    <row r="20" spans="1:19" ht="54" x14ac:dyDescent="0.25">
      <c r="A20" s="49" t="s">
        <v>601</v>
      </c>
      <c r="B20" s="23"/>
      <c r="C20" s="23"/>
      <c r="D20" s="49"/>
      <c r="E20" s="49"/>
      <c r="F20" s="23" t="s">
        <v>649</v>
      </c>
      <c r="G20" s="49"/>
      <c r="H20" s="24" t="s">
        <v>650</v>
      </c>
      <c r="I20" s="23" t="s">
        <v>126</v>
      </c>
      <c r="J20" s="53" t="s">
        <v>126</v>
      </c>
      <c r="K20" s="60" t="s">
        <v>3467</v>
      </c>
      <c r="L20" s="53" t="s">
        <v>66</v>
      </c>
      <c r="M20" s="54"/>
      <c r="N20" s="23" t="s">
        <v>3468</v>
      </c>
      <c r="O20" s="23"/>
      <c r="P20" s="49"/>
      <c r="Q20" s="52">
        <v>46232</v>
      </c>
      <c r="R20" s="23"/>
      <c r="S20" s="49" t="s">
        <v>3456</v>
      </c>
    </row>
    <row r="21" spans="1:19" ht="108" x14ac:dyDescent="0.25">
      <c r="A21" s="49" t="s">
        <v>601</v>
      </c>
      <c r="B21" s="24" t="s">
        <v>652</v>
      </c>
      <c r="C21" s="24" t="s">
        <v>3433</v>
      </c>
      <c r="D21" s="49"/>
      <c r="E21" s="49"/>
      <c r="F21" s="24" t="s">
        <v>654</v>
      </c>
      <c r="G21" s="49"/>
      <c r="H21" s="24" t="s">
        <v>3469</v>
      </c>
      <c r="I21" s="24" t="s">
        <v>28</v>
      </c>
      <c r="J21" s="67" t="s">
        <v>126</v>
      </c>
      <c r="K21" s="60" t="s">
        <v>3467</v>
      </c>
      <c r="L21" s="53" t="s">
        <v>66</v>
      </c>
      <c r="M21" s="54"/>
      <c r="N21" s="57" t="s">
        <v>656</v>
      </c>
      <c r="O21" s="24"/>
      <c r="P21" s="49"/>
      <c r="Q21" s="68">
        <v>46227</v>
      </c>
      <c r="R21" s="24" t="s">
        <v>657</v>
      </c>
      <c r="S21" s="49" t="s">
        <v>3455</v>
      </c>
    </row>
    <row r="22" spans="1:19" ht="108" x14ac:dyDescent="0.25">
      <c r="A22" s="49" t="s">
        <v>601</v>
      </c>
      <c r="B22" s="24"/>
      <c r="C22" s="24"/>
      <c r="D22" s="49"/>
      <c r="E22" s="49"/>
      <c r="F22" s="24" t="s">
        <v>658</v>
      </c>
      <c r="G22" s="49"/>
      <c r="H22" s="24" t="s">
        <v>659</v>
      </c>
      <c r="I22" s="24" t="s">
        <v>28</v>
      </c>
      <c r="J22" s="67" t="s">
        <v>126</v>
      </c>
      <c r="K22" s="60" t="s">
        <v>3467</v>
      </c>
      <c r="L22" s="53" t="s">
        <v>66</v>
      </c>
      <c r="M22" s="54"/>
      <c r="N22" s="57" t="s">
        <v>656</v>
      </c>
      <c r="O22" s="24"/>
      <c r="P22" s="49"/>
      <c r="Q22" s="68">
        <v>46227</v>
      </c>
      <c r="R22" s="24"/>
      <c r="S22" s="49" t="s">
        <v>3455</v>
      </c>
    </row>
    <row r="23" spans="1:19" ht="108" x14ac:dyDescent="0.25">
      <c r="A23" s="49" t="s">
        <v>601</v>
      </c>
      <c r="B23" s="24"/>
      <c r="C23" s="24"/>
      <c r="D23" s="49"/>
      <c r="E23" s="49"/>
      <c r="F23" s="24" t="s">
        <v>660</v>
      </c>
      <c r="G23" s="49"/>
      <c r="H23" s="24" t="s">
        <v>661</v>
      </c>
      <c r="I23" s="24" t="s">
        <v>28</v>
      </c>
      <c r="J23" s="67" t="s">
        <v>126</v>
      </c>
      <c r="K23" s="60" t="s">
        <v>3467</v>
      </c>
      <c r="L23" s="53" t="s">
        <v>66</v>
      </c>
      <c r="M23" s="54"/>
      <c r="N23" s="57" t="s">
        <v>656</v>
      </c>
      <c r="O23" s="24"/>
      <c r="P23" s="49"/>
      <c r="Q23" s="68">
        <v>46227</v>
      </c>
      <c r="R23" s="24"/>
      <c r="S23" s="49" t="s">
        <v>3455</v>
      </c>
    </row>
    <row r="24" spans="1:19" ht="40.5" x14ac:dyDescent="0.25">
      <c r="A24" s="39" t="s">
        <v>601</v>
      </c>
      <c r="B24" s="69" t="s">
        <v>662</v>
      </c>
      <c r="C24" s="69" t="s">
        <v>3433</v>
      </c>
      <c r="D24" s="39"/>
      <c r="E24" s="39"/>
      <c r="F24" s="43" t="s">
        <v>664</v>
      </c>
      <c r="G24" s="39"/>
      <c r="H24" s="43" t="s">
        <v>665</v>
      </c>
      <c r="I24" s="69" t="s">
        <v>28</v>
      </c>
      <c r="J24" s="70" t="s">
        <v>126</v>
      </c>
      <c r="K24" s="62" t="s">
        <v>3467</v>
      </c>
      <c r="L24" s="46" t="s">
        <v>66</v>
      </c>
      <c r="M24" s="47"/>
      <c r="N24" s="43" t="s">
        <v>666</v>
      </c>
      <c r="O24" s="43"/>
      <c r="P24" s="39"/>
      <c r="Q24" s="71">
        <v>46227</v>
      </c>
      <c r="R24" s="72"/>
      <c r="S24" s="49" t="s">
        <v>3455</v>
      </c>
    </row>
    <row r="25" spans="1:19" ht="40.5" x14ac:dyDescent="0.25">
      <c r="A25" s="39" t="s">
        <v>601</v>
      </c>
      <c r="B25" s="69"/>
      <c r="C25" s="69"/>
      <c r="D25" s="39"/>
      <c r="E25" s="39"/>
      <c r="F25" s="43" t="s">
        <v>669</v>
      </c>
      <c r="G25" s="39"/>
      <c r="H25" s="43" t="s">
        <v>3470</v>
      </c>
      <c r="I25" s="69" t="s">
        <v>28</v>
      </c>
      <c r="J25" s="70" t="s">
        <v>126</v>
      </c>
      <c r="K25" s="62" t="s">
        <v>3467</v>
      </c>
      <c r="L25" s="46" t="s">
        <v>66</v>
      </c>
      <c r="M25" s="47"/>
      <c r="N25" s="43" t="s">
        <v>666</v>
      </c>
      <c r="O25" s="43"/>
      <c r="P25" s="39"/>
      <c r="Q25" s="71">
        <v>46227</v>
      </c>
      <c r="R25" s="72"/>
      <c r="S25" s="39" t="s">
        <v>3456</v>
      </c>
    </row>
    <row r="26" spans="1:19" ht="40.5" x14ac:dyDescent="0.25">
      <c r="A26" s="49" t="s">
        <v>601</v>
      </c>
      <c r="B26" s="24"/>
      <c r="C26" s="24"/>
      <c r="D26" s="49"/>
      <c r="E26" s="49"/>
      <c r="F26" s="24" t="s">
        <v>671</v>
      </c>
      <c r="G26" s="49"/>
      <c r="H26" s="24" t="s">
        <v>672</v>
      </c>
      <c r="I26" s="24" t="s">
        <v>28</v>
      </c>
      <c r="J26" s="67" t="s">
        <v>126</v>
      </c>
      <c r="K26" s="60" t="s">
        <v>3467</v>
      </c>
      <c r="L26" s="53" t="s">
        <v>66</v>
      </c>
      <c r="M26" s="54"/>
      <c r="N26" s="24" t="s">
        <v>666</v>
      </c>
      <c r="O26" s="24"/>
      <c r="P26" s="49"/>
      <c r="Q26" s="68">
        <v>46227</v>
      </c>
      <c r="R26" s="24"/>
      <c r="S26" s="39" t="s">
        <v>3456</v>
      </c>
    </row>
    <row r="27" spans="1:19" ht="40.5" x14ac:dyDescent="0.25">
      <c r="A27" s="39" t="s">
        <v>601</v>
      </c>
      <c r="B27" s="69" t="s">
        <v>706</v>
      </c>
      <c r="C27" s="69" t="s">
        <v>3471</v>
      </c>
      <c r="D27" s="39"/>
      <c r="E27" s="39"/>
      <c r="F27" s="43" t="s">
        <v>709</v>
      </c>
      <c r="G27" s="39"/>
      <c r="H27" s="43" t="s">
        <v>710</v>
      </c>
      <c r="I27" s="69" t="s">
        <v>28</v>
      </c>
      <c r="J27" s="70" t="s">
        <v>126</v>
      </c>
      <c r="K27" s="62" t="s">
        <v>3472</v>
      </c>
      <c r="L27" s="46" t="s">
        <v>66</v>
      </c>
      <c r="M27" s="47"/>
      <c r="N27" s="73"/>
      <c r="O27" s="43"/>
      <c r="P27" s="39"/>
      <c r="Q27" s="45">
        <v>46232</v>
      </c>
      <c r="R27" s="72"/>
      <c r="S27" s="39" t="s">
        <v>3465</v>
      </c>
    </row>
    <row r="28" spans="1:19" ht="40.5" x14ac:dyDescent="0.25">
      <c r="A28" s="39" t="s">
        <v>601</v>
      </c>
      <c r="B28" s="69"/>
      <c r="C28" s="69"/>
      <c r="D28" s="39"/>
      <c r="E28" s="39"/>
      <c r="F28" s="43" t="s">
        <v>711</v>
      </c>
      <c r="G28" s="39"/>
      <c r="H28" s="43" t="s">
        <v>712</v>
      </c>
      <c r="I28" s="69" t="s">
        <v>28</v>
      </c>
      <c r="J28" s="70" t="s">
        <v>126</v>
      </c>
      <c r="K28" s="62" t="s">
        <v>3472</v>
      </c>
      <c r="L28" s="46" t="s">
        <v>66</v>
      </c>
      <c r="M28" s="47"/>
      <c r="N28" s="43"/>
      <c r="O28" s="43"/>
      <c r="P28" s="39"/>
      <c r="Q28" s="45">
        <v>46232</v>
      </c>
      <c r="R28" s="72"/>
      <c r="S28" s="39" t="s">
        <v>3465</v>
      </c>
    </row>
    <row r="29" spans="1:19" ht="40.5" x14ac:dyDescent="0.25">
      <c r="A29" s="39" t="s">
        <v>601</v>
      </c>
      <c r="B29" s="40"/>
      <c r="C29" s="40"/>
      <c r="D29" s="39"/>
      <c r="E29" s="39"/>
      <c r="F29" s="48" t="s">
        <v>713</v>
      </c>
      <c r="G29" s="39"/>
      <c r="H29" s="43" t="s">
        <v>714</v>
      </c>
      <c r="I29" s="40" t="s">
        <v>28</v>
      </c>
      <c r="J29" s="46" t="s">
        <v>126</v>
      </c>
      <c r="K29" s="62" t="s">
        <v>3472</v>
      </c>
      <c r="L29" s="46" t="s">
        <v>66</v>
      </c>
      <c r="M29" s="47"/>
      <c r="N29" s="48"/>
      <c r="O29" s="48"/>
      <c r="P29" s="39"/>
      <c r="Q29" s="45">
        <v>46232</v>
      </c>
      <c r="R29" s="74"/>
      <c r="S29" s="39" t="s">
        <v>3465</v>
      </c>
    </row>
    <row r="30" spans="1:19" ht="40.5" x14ac:dyDescent="0.25">
      <c r="A30" s="39" t="s">
        <v>601</v>
      </c>
      <c r="B30" s="69"/>
      <c r="C30" s="69"/>
      <c r="D30" s="39"/>
      <c r="E30" s="39"/>
      <c r="F30" s="43" t="s">
        <v>715</v>
      </c>
      <c r="G30" s="39"/>
      <c r="H30" s="43" t="s">
        <v>716</v>
      </c>
      <c r="I30" s="69" t="s">
        <v>28</v>
      </c>
      <c r="J30" s="70" t="s">
        <v>126</v>
      </c>
      <c r="K30" s="62" t="s">
        <v>3472</v>
      </c>
      <c r="L30" s="46" t="s">
        <v>66</v>
      </c>
      <c r="M30" s="47"/>
      <c r="N30" s="43"/>
      <c r="O30" s="43"/>
      <c r="P30" s="39"/>
      <c r="Q30" s="45">
        <v>46232</v>
      </c>
      <c r="R30" s="72"/>
      <c r="S30" s="39" t="s">
        <v>3465</v>
      </c>
    </row>
    <row r="31" spans="1:19" ht="40.5" x14ac:dyDescent="0.25">
      <c r="A31" s="49" t="s">
        <v>601</v>
      </c>
      <c r="B31" s="24"/>
      <c r="C31" s="24"/>
      <c r="D31" s="49"/>
      <c r="E31" s="49"/>
      <c r="F31" s="24" t="s">
        <v>717</v>
      </c>
      <c r="G31" s="49"/>
      <c r="H31" s="24" t="s">
        <v>672</v>
      </c>
      <c r="I31" s="24" t="s">
        <v>28</v>
      </c>
      <c r="J31" s="67" t="s">
        <v>126</v>
      </c>
      <c r="K31" s="60" t="s">
        <v>3472</v>
      </c>
      <c r="L31" s="53" t="s">
        <v>66</v>
      </c>
      <c r="M31" s="54"/>
      <c r="N31" s="24"/>
      <c r="O31" s="24"/>
      <c r="P31" s="49"/>
      <c r="Q31" s="52">
        <v>46232</v>
      </c>
      <c r="R31" s="24"/>
      <c r="S31" s="39" t="s">
        <v>3465</v>
      </c>
    </row>
    <row r="32" spans="1:19" ht="40.5" x14ac:dyDescent="0.25">
      <c r="A32" s="49" t="s">
        <v>601</v>
      </c>
      <c r="B32" s="23" t="s">
        <v>738</v>
      </c>
      <c r="C32" s="23" t="s">
        <v>3471</v>
      </c>
      <c r="D32" s="49"/>
      <c r="E32" s="49"/>
      <c r="F32" s="23" t="s">
        <v>741</v>
      </c>
      <c r="G32" s="49"/>
      <c r="H32" s="75" t="s">
        <v>742</v>
      </c>
      <c r="I32" s="23" t="s">
        <v>28</v>
      </c>
      <c r="J32" s="53" t="s">
        <v>126</v>
      </c>
      <c r="K32" s="60" t="s">
        <v>3467</v>
      </c>
      <c r="L32" s="53" t="s">
        <v>66</v>
      </c>
      <c r="M32" s="54"/>
      <c r="N32" s="23"/>
      <c r="O32" s="23"/>
      <c r="P32" s="49"/>
      <c r="Q32" s="60"/>
      <c r="R32" s="23"/>
      <c r="S32" s="39" t="s">
        <v>3465</v>
      </c>
    </row>
    <row r="33" spans="1:19" ht="40.5" x14ac:dyDescent="0.25">
      <c r="A33" s="39" t="s">
        <v>601</v>
      </c>
      <c r="B33" s="40" t="s">
        <v>773</v>
      </c>
      <c r="C33" s="40" t="s">
        <v>3473</v>
      </c>
      <c r="D33" s="39"/>
      <c r="E33" s="39"/>
      <c r="F33" s="48" t="s">
        <v>775</v>
      </c>
      <c r="G33" s="39"/>
      <c r="H33" s="43" t="s">
        <v>776</v>
      </c>
      <c r="I33" s="40" t="s">
        <v>28</v>
      </c>
      <c r="J33" s="46" t="s">
        <v>126</v>
      </c>
      <c r="K33" s="62" t="s">
        <v>3467</v>
      </c>
      <c r="L33" s="46" t="s">
        <v>66</v>
      </c>
      <c r="M33" s="47"/>
      <c r="N33" s="48" t="s">
        <v>777</v>
      </c>
      <c r="O33" s="48"/>
      <c r="P33" s="39"/>
      <c r="Q33" s="62"/>
      <c r="R33" s="74"/>
      <c r="S33" s="39" t="s">
        <v>3456</v>
      </c>
    </row>
    <row r="34" spans="1:19" ht="40.5" x14ac:dyDescent="0.25">
      <c r="A34" s="39" t="s">
        <v>601</v>
      </c>
      <c r="B34" s="40"/>
      <c r="C34" s="40"/>
      <c r="D34" s="39"/>
      <c r="E34" s="39"/>
      <c r="F34" s="48" t="s">
        <v>778</v>
      </c>
      <c r="G34" s="39"/>
      <c r="H34" s="43" t="s">
        <v>779</v>
      </c>
      <c r="I34" s="40" t="s">
        <v>28</v>
      </c>
      <c r="J34" s="46" t="s">
        <v>126</v>
      </c>
      <c r="K34" s="62" t="s">
        <v>3467</v>
      </c>
      <c r="L34" s="46" t="s">
        <v>66</v>
      </c>
      <c r="M34" s="47"/>
      <c r="N34" s="48" t="s">
        <v>777</v>
      </c>
      <c r="O34" s="48"/>
      <c r="P34" s="39"/>
      <c r="Q34" s="62"/>
      <c r="R34" s="74"/>
      <c r="S34" s="39" t="s">
        <v>3456</v>
      </c>
    </row>
    <row r="35" spans="1:19" ht="40.5" x14ac:dyDescent="0.25">
      <c r="A35" s="39" t="s">
        <v>601</v>
      </c>
      <c r="B35" s="40"/>
      <c r="C35" s="40"/>
      <c r="D35" s="39"/>
      <c r="E35" s="39"/>
      <c r="F35" s="48" t="s">
        <v>780</v>
      </c>
      <c r="G35" s="39"/>
      <c r="H35" s="43" t="s">
        <v>781</v>
      </c>
      <c r="I35" s="40" t="s">
        <v>28</v>
      </c>
      <c r="J35" s="46" t="s">
        <v>126</v>
      </c>
      <c r="K35" s="62" t="s">
        <v>3467</v>
      </c>
      <c r="L35" s="46" t="s">
        <v>66</v>
      </c>
      <c r="M35" s="47"/>
      <c r="N35" s="48" t="s">
        <v>777</v>
      </c>
      <c r="O35" s="48"/>
      <c r="P35" s="39"/>
      <c r="Q35" s="62"/>
      <c r="R35" s="74"/>
      <c r="S35" s="39" t="s">
        <v>3456</v>
      </c>
    </row>
    <row r="36" spans="1:19" ht="40.5" x14ac:dyDescent="0.25">
      <c r="A36" s="39" t="s">
        <v>601</v>
      </c>
      <c r="B36" s="40"/>
      <c r="C36" s="40"/>
      <c r="D36" s="39"/>
      <c r="E36" s="39"/>
      <c r="F36" s="48" t="s">
        <v>782</v>
      </c>
      <c r="G36" s="39"/>
      <c r="H36" s="43" t="s">
        <v>783</v>
      </c>
      <c r="I36" s="40" t="s">
        <v>28</v>
      </c>
      <c r="J36" s="46" t="s">
        <v>126</v>
      </c>
      <c r="K36" s="62" t="s">
        <v>3467</v>
      </c>
      <c r="L36" s="46" t="s">
        <v>66</v>
      </c>
      <c r="M36" s="47"/>
      <c r="N36" s="48" t="s">
        <v>777</v>
      </c>
      <c r="O36" s="48"/>
      <c r="P36" s="39"/>
      <c r="Q36" s="62"/>
      <c r="R36" s="74"/>
      <c r="S36" s="39" t="s">
        <v>3456</v>
      </c>
    </row>
    <row r="37" spans="1:19" ht="40.5" x14ac:dyDescent="0.25">
      <c r="A37" s="39" t="s">
        <v>601</v>
      </c>
      <c r="B37" s="40"/>
      <c r="C37" s="40"/>
      <c r="D37" s="39"/>
      <c r="E37" s="39"/>
      <c r="F37" s="48" t="s">
        <v>784</v>
      </c>
      <c r="G37" s="39"/>
      <c r="H37" s="43" t="s">
        <v>785</v>
      </c>
      <c r="I37" s="40" t="s">
        <v>28</v>
      </c>
      <c r="J37" s="46" t="s">
        <v>126</v>
      </c>
      <c r="K37" s="62" t="s">
        <v>3467</v>
      </c>
      <c r="L37" s="46" t="s">
        <v>66</v>
      </c>
      <c r="M37" s="47"/>
      <c r="N37" s="48" t="s">
        <v>777</v>
      </c>
      <c r="O37" s="48"/>
      <c r="P37" s="39"/>
      <c r="Q37" s="62"/>
      <c r="R37" s="74"/>
      <c r="S37" s="39" t="s">
        <v>3456</v>
      </c>
    </row>
    <row r="38" spans="1:19" ht="40.5" x14ac:dyDescent="0.25">
      <c r="A38" s="39" t="s">
        <v>601</v>
      </c>
      <c r="B38" s="40"/>
      <c r="C38" s="40"/>
      <c r="D38" s="39"/>
      <c r="E38" s="39"/>
      <c r="F38" s="48" t="s">
        <v>786</v>
      </c>
      <c r="G38" s="39"/>
      <c r="H38" s="43" t="s">
        <v>787</v>
      </c>
      <c r="I38" s="40" t="s">
        <v>28</v>
      </c>
      <c r="J38" s="46" t="s">
        <v>126</v>
      </c>
      <c r="K38" s="62" t="s">
        <v>3467</v>
      </c>
      <c r="L38" s="46" t="s">
        <v>66</v>
      </c>
      <c r="M38" s="47"/>
      <c r="N38" s="48" t="s">
        <v>777</v>
      </c>
      <c r="O38" s="48"/>
      <c r="P38" s="39"/>
      <c r="Q38" s="62"/>
      <c r="R38" s="74"/>
      <c r="S38" s="39" t="s">
        <v>3456</v>
      </c>
    </row>
    <row r="39" spans="1:19" ht="40.5" x14ac:dyDescent="0.25">
      <c r="A39" s="49" t="s">
        <v>601</v>
      </c>
      <c r="B39" s="23"/>
      <c r="C39" s="23"/>
      <c r="D39" s="49"/>
      <c r="E39" s="49"/>
      <c r="F39" s="23" t="s">
        <v>796</v>
      </c>
      <c r="G39" s="49"/>
      <c r="H39" s="24" t="s">
        <v>672</v>
      </c>
      <c r="I39" s="23" t="s">
        <v>28</v>
      </c>
      <c r="J39" s="53" t="s">
        <v>126</v>
      </c>
      <c r="K39" s="60" t="s">
        <v>3474</v>
      </c>
      <c r="L39" s="53" t="s">
        <v>66</v>
      </c>
      <c r="M39" s="54"/>
      <c r="N39" s="23" t="s">
        <v>797</v>
      </c>
      <c r="O39" s="23"/>
      <c r="P39" s="49"/>
      <c r="Q39" s="52">
        <v>46232</v>
      </c>
      <c r="R39" s="23"/>
      <c r="S39" s="39" t="s">
        <v>3456</v>
      </c>
    </row>
    <row r="40" spans="1:19" ht="40.5" x14ac:dyDescent="0.25">
      <c r="A40" s="39" t="s">
        <v>601</v>
      </c>
      <c r="B40" s="40"/>
      <c r="C40" s="40"/>
      <c r="D40" s="39"/>
      <c r="E40" s="39"/>
      <c r="F40" s="48" t="s">
        <v>798</v>
      </c>
      <c r="G40" s="39"/>
      <c r="H40" s="43" t="s">
        <v>3475</v>
      </c>
      <c r="I40" s="40" t="s">
        <v>28</v>
      </c>
      <c r="J40" s="46" t="s">
        <v>126</v>
      </c>
      <c r="K40" s="62" t="s">
        <v>3474</v>
      </c>
      <c r="L40" s="46" t="s">
        <v>66</v>
      </c>
      <c r="M40" s="47"/>
      <c r="N40" s="48" t="s">
        <v>797</v>
      </c>
      <c r="O40" s="48"/>
      <c r="P40" s="39"/>
      <c r="Q40" s="45">
        <v>46232</v>
      </c>
      <c r="R40" s="74"/>
      <c r="S40" s="39" t="s">
        <v>3456</v>
      </c>
    </row>
    <row r="41" spans="1:19" ht="40.5" x14ac:dyDescent="0.25">
      <c r="A41" s="39" t="s">
        <v>601</v>
      </c>
      <c r="B41" s="69"/>
      <c r="C41" s="69"/>
      <c r="D41" s="39"/>
      <c r="E41" s="39"/>
      <c r="F41" s="43" t="s">
        <v>834</v>
      </c>
      <c r="G41" s="39"/>
      <c r="H41" s="43" t="s">
        <v>835</v>
      </c>
      <c r="I41" s="69" t="s">
        <v>28</v>
      </c>
      <c r="J41" s="70" t="s">
        <v>126</v>
      </c>
      <c r="K41" s="62" t="s">
        <v>3474</v>
      </c>
      <c r="L41" s="46" t="s">
        <v>66</v>
      </c>
      <c r="M41" s="47"/>
      <c r="N41" s="43" t="s">
        <v>833</v>
      </c>
      <c r="O41" s="43"/>
      <c r="P41" s="39"/>
      <c r="Q41" s="71">
        <v>46227</v>
      </c>
      <c r="R41" s="72"/>
      <c r="S41" s="39" t="s">
        <v>3456</v>
      </c>
    </row>
    <row r="42" spans="1:19" ht="40.5" x14ac:dyDescent="0.25">
      <c r="A42" s="39" t="s">
        <v>601</v>
      </c>
      <c r="B42" s="40"/>
      <c r="C42" s="40"/>
      <c r="D42" s="39"/>
      <c r="E42" s="39"/>
      <c r="F42" s="48" t="s">
        <v>836</v>
      </c>
      <c r="G42" s="39"/>
      <c r="H42" s="43" t="s">
        <v>837</v>
      </c>
      <c r="I42" s="40" t="s">
        <v>28</v>
      </c>
      <c r="J42" s="46" t="s">
        <v>126</v>
      </c>
      <c r="K42" s="62" t="s">
        <v>3474</v>
      </c>
      <c r="L42" s="46" t="s">
        <v>66</v>
      </c>
      <c r="M42" s="47"/>
      <c r="N42" s="48" t="s">
        <v>833</v>
      </c>
      <c r="O42" s="48"/>
      <c r="P42" s="39"/>
      <c r="Q42" s="62"/>
      <c r="R42" s="74"/>
      <c r="S42" s="39" t="s">
        <v>3456</v>
      </c>
    </row>
    <row r="43" spans="1:19" ht="54" x14ac:dyDescent="0.25">
      <c r="A43" s="49" t="s">
        <v>601</v>
      </c>
      <c r="B43" s="23" t="s">
        <v>863</v>
      </c>
      <c r="C43" s="23" t="s">
        <v>3476</v>
      </c>
      <c r="D43" s="49"/>
      <c r="E43" s="49"/>
      <c r="F43" s="23" t="s">
        <v>865</v>
      </c>
      <c r="G43" s="49"/>
      <c r="H43" s="24" t="s">
        <v>866</v>
      </c>
      <c r="I43" s="23" t="s">
        <v>28</v>
      </c>
      <c r="J43" s="53" t="s">
        <v>126</v>
      </c>
      <c r="K43" s="60" t="s">
        <v>3474</v>
      </c>
      <c r="L43" s="53" t="s">
        <v>66</v>
      </c>
      <c r="M43" s="54"/>
      <c r="N43" s="23" t="s">
        <v>867</v>
      </c>
      <c r="O43" s="23"/>
      <c r="P43" s="49"/>
      <c r="Q43" s="60"/>
      <c r="R43" s="23"/>
      <c r="S43" s="39" t="s">
        <v>3456</v>
      </c>
    </row>
    <row r="44" spans="1:19" ht="54" x14ac:dyDescent="0.25">
      <c r="A44" s="49" t="s">
        <v>601</v>
      </c>
      <c r="B44" s="23"/>
      <c r="C44" s="23"/>
      <c r="D44" s="49"/>
      <c r="E44" s="49"/>
      <c r="F44" s="23" t="s">
        <v>868</v>
      </c>
      <c r="G44" s="49"/>
      <c r="H44" s="24" t="s">
        <v>869</v>
      </c>
      <c r="I44" s="23" t="s">
        <v>28</v>
      </c>
      <c r="J44" s="53" t="s">
        <v>126</v>
      </c>
      <c r="K44" s="60" t="s">
        <v>3474</v>
      </c>
      <c r="L44" s="53" t="s">
        <v>66</v>
      </c>
      <c r="M44" s="54"/>
      <c r="N44" s="23" t="s">
        <v>867</v>
      </c>
      <c r="O44" s="23"/>
      <c r="P44" s="49"/>
      <c r="Q44" s="60"/>
      <c r="R44" s="23"/>
      <c r="S44" s="39" t="s">
        <v>3456</v>
      </c>
    </row>
    <row r="45" spans="1:19" ht="54" x14ac:dyDescent="0.25">
      <c r="A45" s="49" t="s">
        <v>601</v>
      </c>
      <c r="B45" s="23"/>
      <c r="C45" s="23"/>
      <c r="D45" s="49"/>
      <c r="E45" s="49"/>
      <c r="F45" s="23" t="s">
        <v>870</v>
      </c>
      <c r="G45" s="49"/>
      <c r="H45" s="24" t="s">
        <v>871</v>
      </c>
      <c r="I45" s="23" t="s">
        <v>28</v>
      </c>
      <c r="J45" s="53" t="s">
        <v>126</v>
      </c>
      <c r="K45" s="60" t="s">
        <v>3474</v>
      </c>
      <c r="L45" s="53" t="s">
        <v>66</v>
      </c>
      <c r="M45" s="54"/>
      <c r="N45" s="23" t="s">
        <v>867</v>
      </c>
      <c r="O45" s="23"/>
      <c r="P45" s="49"/>
      <c r="Q45" s="60"/>
      <c r="R45" s="23"/>
      <c r="S45" s="39" t="s">
        <v>3456</v>
      </c>
    </row>
    <row r="46" spans="1:19" ht="54" x14ac:dyDescent="0.25">
      <c r="A46" s="39" t="s">
        <v>601</v>
      </c>
      <c r="B46" s="40"/>
      <c r="C46" s="40"/>
      <c r="D46" s="39"/>
      <c r="E46" s="39"/>
      <c r="F46" s="48" t="s">
        <v>872</v>
      </c>
      <c r="G46" s="39"/>
      <c r="H46" s="43" t="s">
        <v>3477</v>
      </c>
      <c r="I46" s="40" t="s">
        <v>28</v>
      </c>
      <c r="J46" s="46" t="s">
        <v>126</v>
      </c>
      <c r="K46" s="62" t="s">
        <v>3474</v>
      </c>
      <c r="L46" s="46" t="s">
        <v>66</v>
      </c>
      <c r="M46" s="47"/>
      <c r="N46" s="48" t="s">
        <v>867</v>
      </c>
      <c r="O46" s="48"/>
      <c r="P46" s="39"/>
      <c r="Q46" s="62"/>
      <c r="R46" s="74"/>
      <c r="S46" s="39" t="s">
        <v>3456</v>
      </c>
    </row>
    <row r="47" spans="1:19" ht="40.5" x14ac:dyDescent="0.25">
      <c r="A47" s="39" t="s">
        <v>601</v>
      </c>
      <c r="B47" s="43" t="s">
        <v>963</v>
      </c>
      <c r="C47" s="43" t="s">
        <v>3478</v>
      </c>
      <c r="D47" s="39"/>
      <c r="E47" s="39"/>
      <c r="F47" s="43" t="s">
        <v>965</v>
      </c>
      <c r="G47" s="39"/>
      <c r="H47" s="43" t="s">
        <v>3479</v>
      </c>
      <c r="I47" s="69" t="s">
        <v>28</v>
      </c>
      <c r="J47" s="70" t="s">
        <v>126</v>
      </c>
      <c r="K47" s="71">
        <v>46176</v>
      </c>
      <c r="L47" s="46" t="s">
        <v>66</v>
      </c>
      <c r="M47" s="47"/>
      <c r="N47" s="43" t="s">
        <v>656</v>
      </c>
      <c r="O47" s="43"/>
      <c r="P47" s="39"/>
      <c r="Q47" s="71">
        <v>46227</v>
      </c>
      <c r="R47" s="72"/>
      <c r="S47" s="39" t="s">
        <v>3455</v>
      </c>
    </row>
    <row r="48" spans="1:19" ht="40.5" x14ac:dyDescent="0.25">
      <c r="A48" s="39" t="s">
        <v>601</v>
      </c>
      <c r="B48" s="40"/>
      <c r="C48" s="40"/>
      <c r="D48" s="39"/>
      <c r="E48" s="39"/>
      <c r="F48" s="48" t="s">
        <v>989</v>
      </c>
      <c r="G48" s="39"/>
      <c r="H48" s="43" t="s">
        <v>990</v>
      </c>
      <c r="I48" s="40" t="s">
        <v>28</v>
      </c>
      <c r="J48" s="46" t="s">
        <v>126</v>
      </c>
      <c r="K48" s="45">
        <v>46177</v>
      </c>
      <c r="L48" s="46" t="s">
        <v>66</v>
      </c>
      <c r="M48" s="47"/>
      <c r="N48" s="48" t="s">
        <v>991</v>
      </c>
      <c r="O48" s="48"/>
      <c r="P48" s="39"/>
      <c r="Q48" s="62"/>
      <c r="R48" s="74"/>
      <c r="S48" s="39" t="s">
        <v>3456</v>
      </c>
    </row>
    <row r="49" spans="1:19" ht="40.5" x14ac:dyDescent="0.25">
      <c r="A49" s="39" t="s">
        <v>601</v>
      </c>
      <c r="B49" s="40"/>
      <c r="C49" s="40"/>
      <c r="D49" s="39"/>
      <c r="E49" s="39"/>
      <c r="F49" s="48" t="s">
        <v>992</v>
      </c>
      <c r="G49" s="39"/>
      <c r="H49" s="43" t="s">
        <v>993</v>
      </c>
      <c r="I49" s="40" t="s">
        <v>28</v>
      </c>
      <c r="J49" s="46" t="s">
        <v>126</v>
      </c>
      <c r="K49" s="45">
        <v>46177</v>
      </c>
      <c r="L49" s="46" t="s">
        <v>66</v>
      </c>
      <c r="M49" s="47"/>
      <c r="N49" s="48" t="s">
        <v>991</v>
      </c>
      <c r="O49" s="48"/>
      <c r="P49" s="39"/>
      <c r="Q49" s="62"/>
      <c r="R49" s="74"/>
      <c r="S49" s="39" t="s">
        <v>3456</v>
      </c>
    </row>
    <row r="50" spans="1:19" ht="40.5" x14ac:dyDescent="0.25">
      <c r="A50" s="49" t="s">
        <v>601</v>
      </c>
      <c r="B50" s="23"/>
      <c r="C50" s="23"/>
      <c r="D50" s="49"/>
      <c r="E50" s="49"/>
      <c r="F50" s="23" t="s">
        <v>1010</v>
      </c>
      <c r="G50" s="49"/>
      <c r="H50" s="24" t="s">
        <v>1011</v>
      </c>
      <c r="I50" s="23" t="s">
        <v>28</v>
      </c>
      <c r="J50" s="53" t="s">
        <v>126</v>
      </c>
      <c r="K50" s="52">
        <v>46177</v>
      </c>
      <c r="L50" s="53" t="s">
        <v>66</v>
      </c>
      <c r="M50" s="54"/>
      <c r="N50" s="23" t="s">
        <v>1012</v>
      </c>
      <c r="O50" s="23"/>
      <c r="P50" s="49"/>
      <c r="Q50" s="60"/>
      <c r="R50" s="23"/>
      <c r="S50" s="49" t="s">
        <v>3465</v>
      </c>
    </row>
    <row r="51" spans="1:19" ht="40.5" x14ac:dyDescent="0.25">
      <c r="A51" s="49" t="s">
        <v>601</v>
      </c>
      <c r="B51" s="23"/>
      <c r="C51" s="23"/>
      <c r="D51" s="49"/>
      <c r="E51" s="49"/>
      <c r="F51" s="23" t="s">
        <v>1013</v>
      </c>
      <c r="G51" s="49"/>
      <c r="H51" s="24" t="s">
        <v>895</v>
      </c>
      <c r="I51" s="23" t="s">
        <v>28</v>
      </c>
      <c r="J51" s="53" t="s">
        <v>126</v>
      </c>
      <c r="K51" s="52">
        <v>46177</v>
      </c>
      <c r="L51" s="53" t="s">
        <v>66</v>
      </c>
      <c r="M51" s="54"/>
      <c r="N51" s="23" t="s">
        <v>1012</v>
      </c>
      <c r="O51" s="23"/>
      <c r="P51" s="49"/>
      <c r="Q51" s="60"/>
      <c r="R51" s="23"/>
      <c r="S51" s="49" t="s">
        <v>3465</v>
      </c>
    </row>
    <row r="52" spans="1:19" ht="67.5" x14ac:dyDescent="0.25">
      <c r="A52" s="39" t="s">
        <v>601</v>
      </c>
      <c r="B52" s="40" t="s">
        <v>1014</v>
      </c>
      <c r="C52" s="40" t="s">
        <v>3480</v>
      </c>
      <c r="D52" s="39"/>
      <c r="E52" s="39"/>
      <c r="F52" s="48" t="s">
        <v>1016</v>
      </c>
      <c r="G52" s="39"/>
      <c r="H52" s="43" t="s">
        <v>1017</v>
      </c>
      <c r="I52" s="40" t="s">
        <v>28</v>
      </c>
      <c r="J52" s="46" t="s">
        <v>126</v>
      </c>
      <c r="K52" s="45">
        <v>46177</v>
      </c>
      <c r="L52" s="46" t="s">
        <v>66</v>
      </c>
      <c r="M52" s="47"/>
      <c r="N52" s="48" t="s">
        <v>1018</v>
      </c>
      <c r="O52" s="48"/>
      <c r="P52" s="39"/>
      <c r="Q52" s="62"/>
      <c r="R52" s="74"/>
      <c r="S52" s="49" t="s">
        <v>3465</v>
      </c>
    </row>
    <row r="53" spans="1:19" ht="67.5" x14ac:dyDescent="0.25">
      <c r="A53" s="39" t="s">
        <v>601</v>
      </c>
      <c r="B53" s="40" t="s">
        <v>1019</v>
      </c>
      <c r="C53" s="40" t="s">
        <v>3478</v>
      </c>
      <c r="D53" s="39"/>
      <c r="E53" s="39"/>
      <c r="F53" s="48" t="s">
        <v>1022</v>
      </c>
      <c r="G53" s="39"/>
      <c r="H53" s="43" t="s">
        <v>1023</v>
      </c>
      <c r="I53" s="40" t="s">
        <v>28</v>
      </c>
      <c r="J53" s="46" t="s">
        <v>126</v>
      </c>
      <c r="K53" s="45">
        <v>46177</v>
      </c>
      <c r="L53" s="46" t="s">
        <v>66</v>
      </c>
      <c r="M53" s="47"/>
      <c r="N53" s="48" t="s">
        <v>1018</v>
      </c>
      <c r="O53" s="48"/>
      <c r="P53" s="39"/>
      <c r="Q53" s="62"/>
      <c r="R53" s="74"/>
      <c r="S53" s="49" t="s">
        <v>3465</v>
      </c>
    </row>
    <row r="54" spans="1:19" ht="67.5" x14ac:dyDescent="0.25">
      <c r="A54" s="39" t="s">
        <v>601</v>
      </c>
      <c r="B54" s="40"/>
      <c r="C54" s="40"/>
      <c r="D54" s="39"/>
      <c r="E54" s="39"/>
      <c r="F54" s="48" t="s">
        <v>1024</v>
      </c>
      <c r="G54" s="39"/>
      <c r="H54" s="43" t="s">
        <v>3481</v>
      </c>
      <c r="I54" s="40" t="s">
        <v>28</v>
      </c>
      <c r="J54" s="46" t="s">
        <v>126</v>
      </c>
      <c r="K54" s="45">
        <v>46177</v>
      </c>
      <c r="L54" s="46" t="s">
        <v>66</v>
      </c>
      <c r="M54" s="47"/>
      <c r="N54" s="48" t="s">
        <v>1018</v>
      </c>
      <c r="O54" s="48"/>
      <c r="P54" s="39"/>
      <c r="Q54" s="62"/>
      <c r="R54" s="74"/>
      <c r="S54" s="49" t="s">
        <v>3465</v>
      </c>
    </row>
    <row r="55" spans="1:19" ht="67.5" x14ac:dyDescent="0.25">
      <c r="A55" s="39" t="s">
        <v>601</v>
      </c>
      <c r="B55" s="40"/>
      <c r="C55" s="40"/>
      <c r="D55" s="39"/>
      <c r="E55" s="39"/>
      <c r="F55" s="48" t="s">
        <v>1026</v>
      </c>
      <c r="G55" s="39"/>
      <c r="H55" s="43" t="s">
        <v>1027</v>
      </c>
      <c r="I55" s="40" t="s">
        <v>28</v>
      </c>
      <c r="J55" s="46" t="s">
        <v>126</v>
      </c>
      <c r="K55" s="45">
        <v>46177</v>
      </c>
      <c r="L55" s="46" t="s">
        <v>66</v>
      </c>
      <c r="M55" s="47"/>
      <c r="N55" s="48" t="s">
        <v>1018</v>
      </c>
      <c r="O55" s="48"/>
      <c r="P55" s="39"/>
      <c r="Q55" s="62"/>
      <c r="R55" s="74"/>
      <c r="S55" s="49" t="s">
        <v>3465</v>
      </c>
    </row>
    <row r="56" spans="1:19" ht="40.5" x14ac:dyDescent="0.25">
      <c r="A56" s="39" t="s">
        <v>601</v>
      </c>
      <c r="B56" s="40"/>
      <c r="C56" s="40"/>
      <c r="D56" s="39"/>
      <c r="E56" s="39"/>
      <c r="F56" s="48" t="s">
        <v>1060</v>
      </c>
      <c r="G56" s="39"/>
      <c r="H56" s="43" t="s">
        <v>1061</v>
      </c>
      <c r="I56" s="40" t="s">
        <v>28</v>
      </c>
      <c r="J56" s="46" t="s">
        <v>126</v>
      </c>
      <c r="K56" s="45">
        <v>46182</v>
      </c>
      <c r="L56" s="46" t="s">
        <v>66</v>
      </c>
      <c r="M56" s="47"/>
      <c r="N56" s="48" t="s">
        <v>1062</v>
      </c>
      <c r="O56" s="48"/>
      <c r="P56" s="39"/>
      <c r="Q56" s="62"/>
      <c r="R56" s="74"/>
      <c r="S56" s="49" t="s">
        <v>3465</v>
      </c>
    </row>
    <row r="57" spans="1:19" ht="40.5" x14ac:dyDescent="0.25">
      <c r="A57" s="49" t="s">
        <v>601</v>
      </c>
      <c r="B57" s="23"/>
      <c r="C57" s="23"/>
      <c r="D57" s="49"/>
      <c r="E57" s="49"/>
      <c r="F57" s="23" t="s">
        <v>1063</v>
      </c>
      <c r="G57" s="49"/>
      <c r="H57" s="24" t="s">
        <v>895</v>
      </c>
      <c r="I57" s="23" t="s">
        <v>28</v>
      </c>
      <c r="J57" s="53" t="s">
        <v>126</v>
      </c>
      <c r="K57" s="52">
        <v>46182</v>
      </c>
      <c r="L57" s="53" t="s">
        <v>66</v>
      </c>
      <c r="M57" s="54"/>
      <c r="N57" s="23" t="s">
        <v>1062</v>
      </c>
      <c r="O57" s="23"/>
      <c r="P57" s="49"/>
      <c r="Q57" s="60"/>
      <c r="R57" s="23"/>
      <c r="S57" s="49" t="s">
        <v>3465</v>
      </c>
    </row>
    <row r="58" spans="1:19" ht="54" x14ac:dyDescent="0.25">
      <c r="A58" s="39" t="s">
        <v>601</v>
      </c>
      <c r="B58" s="40" t="s">
        <v>1064</v>
      </c>
      <c r="C58" s="40" t="s">
        <v>3482</v>
      </c>
      <c r="D58" s="39"/>
      <c r="E58" s="39"/>
      <c r="F58" s="48" t="s">
        <v>1066</v>
      </c>
      <c r="G58" s="39"/>
      <c r="H58" s="43" t="s">
        <v>1067</v>
      </c>
      <c r="I58" s="40" t="s">
        <v>28</v>
      </c>
      <c r="J58" s="46" t="s">
        <v>126</v>
      </c>
      <c r="K58" s="45">
        <v>46182</v>
      </c>
      <c r="L58" s="46" t="s">
        <v>66</v>
      </c>
      <c r="M58" s="47"/>
      <c r="N58" s="48" t="s">
        <v>1062</v>
      </c>
      <c r="O58" s="48"/>
      <c r="P58" s="39"/>
      <c r="Q58" s="62"/>
      <c r="R58" s="74"/>
      <c r="S58" s="49" t="s">
        <v>3465</v>
      </c>
    </row>
    <row r="59" spans="1:19" ht="40.5" x14ac:dyDescent="0.25">
      <c r="A59" s="39" t="s">
        <v>601</v>
      </c>
      <c r="B59" s="40"/>
      <c r="C59" s="40"/>
      <c r="D59" s="39"/>
      <c r="E59" s="39"/>
      <c r="F59" s="48" t="s">
        <v>1068</v>
      </c>
      <c r="G59" s="39"/>
      <c r="H59" s="43" t="s">
        <v>1069</v>
      </c>
      <c r="I59" s="40" t="s">
        <v>28</v>
      </c>
      <c r="J59" s="46" t="s">
        <v>126</v>
      </c>
      <c r="K59" s="45">
        <v>46182</v>
      </c>
      <c r="L59" s="46" t="s">
        <v>66</v>
      </c>
      <c r="M59" s="47"/>
      <c r="N59" s="48" t="s">
        <v>1062</v>
      </c>
      <c r="O59" s="48"/>
      <c r="P59" s="39"/>
      <c r="Q59" s="62"/>
      <c r="R59" s="74"/>
      <c r="S59" s="49" t="s">
        <v>3465</v>
      </c>
    </row>
    <row r="60" spans="1:19" ht="40.5" x14ac:dyDescent="0.25">
      <c r="A60" s="39" t="s">
        <v>601</v>
      </c>
      <c r="B60" s="40"/>
      <c r="C60" s="40"/>
      <c r="D60" s="39"/>
      <c r="E60" s="39"/>
      <c r="F60" s="48" t="s">
        <v>1070</v>
      </c>
      <c r="G60" s="39"/>
      <c r="H60" s="43" t="s">
        <v>1071</v>
      </c>
      <c r="I60" s="40" t="s">
        <v>28</v>
      </c>
      <c r="J60" s="46" t="s">
        <v>126</v>
      </c>
      <c r="K60" s="45">
        <v>46182</v>
      </c>
      <c r="L60" s="46" t="s">
        <v>66</v>
      </c>
      <c r="M60" s="47"/>
      <c r="N60" s="48" t="s">
        <v>1062</v>
      </c>
      <c r="O60" s="48"/>
      <c r="P60" s="39"/>
      <c r="Q60" s="62"/>
      <c r="R60" s="74"/>
      <c r="S60" s="49" t="s">
        <v>3465</v>
      </c>
    </row>
    <row r="61" spans="1:19" ht="40.5" x14ac:dyDescent="0.25">
      <c r="A61" s="39" t="s">
        <v>601</v>
      </c>
      <c r="B61" s="40"/>
      <c r="C61" s="40"/>
      <c r="D61" s="39"/>
      <c r="E61" s="39"/>
      <c r="F61" s="48" t="s">
        <v>1072</v>
      </c>
      <c r="G61" s="39"/>
      <c r="H61" s="43" t="s">
        <v>1073</v>
      </c>
      <c r="I61" s="40" t="s">
        <v>28</v>
      </c>
      <c r="J61" s="46" t="s">
        <v>126</v>
      </c>
      <c r="K61" s="45">
        <v>46182</v>
      </c>
      <c r="L61" s="46" t="s">
        <v>66</v>
      </c>
      <c r="M61" s="47"/>
      <c r="N61" s="48" t="s">
        <v>1062</v>
      </c>
      <c r="O61" s="48"/>
      <c r="P61" s="39"/>
      <c r="Q61" s="62"/>
      <c r="R61" s="74"/>
      <c r="S61" s="49" t="s">
        <v>3465</v>
      </c>
    </row>
    <row r="62" spans="1:19" ht="40.5" x14ac:dyDescent="0.25">
      <c r="A62" s="49" t="s">
        <v>601</v>
      </c>
      <c r="B62" s="23"/>
      <c r="C62" s="23"/>
      <c r="D62" s="49"/>
      <c r="E62" s="49"/>
      <c r="F62" s="23" t="s">
        <v>1074</v>
      </c>
      <c r="G62" s="49"/>
      <c r="H62" s="24" t="s">
        <v>1075</v>
      </c>
      <c r="I62" s="23" t="s">
        <v>28</v>
      </c>
      <c r="J62" s="53" t="s">
        <v>126</v>
      </c>
      <c r="K62" s="52">
        <v>46182</v>
      </c>
      <c r="L62" s="53" t="s">
        <v>66</v>
      </c>
      <c r="M62" s="54"/>
      <c r="N62" s="23" t="s">
        <v>1062</v>
      </c>
      <c r="O62" s="23"/>
      <c r="P62" s="49"/>
      <c r="Q62" s="60"/>
      <c r="R62" s="23"/>
      <c r="S62" s="49" t="s">
        <v>3465</v>
      </c>
    </row>
    <row r="63" spans="1:19" ht="54" x14ac:dyDescent="0.25">
      <c r="A63" s="49" t="s">
        <v>601</v>
      </c>
      <c r="B63" s="23" t="s">
        <v>1076</v>
      </c>
      <c r="C63" s="23" t="s">
        <v>3483</v>
      </c>
      <c r="D63" s="49"/>
      <c r="E63" s="49"/>
      <c r="F63" s="23" t="s">
        <v>1078</v>
      </c>
      <c r="G63" s="49"/>
      <c r="H63" s="24" t="s">
        <v>1079</v>
      </c>
      <c r="I63" s="23" t="s">
        <v>28</v>
      </c>
      <c r="J63" s="53" t="s">
        <v>126</v>
      </c>
      <c r="K63" s="52">
        <v>46182</v>
      </c>
      <c r="L63" s="53" t="s">
        <v>66</v>
      </c>
      <c r="M63" s="54"/>
      <c r="N63" s="23" t="s">
        <v>1062</v>
      </c>
      <c r="O63" s="23"/>
      <c r="P63" s="49"/>
      <c r="Q63" s="60"/>
      <c r="R63" s="23"/>
      <c r="S63" s="49" t="s">
        <v>3465</v>
      </c>
    </row>
    <row r="64" spans="1:19" ht="40.5" x14ac:dyDescent="0.25">
      <c r="A64" s="39" t="s">
        <v>601</v>
      </c>
      <c r="B64" s="40"/>
      <c r="C64" s="40"/>
      <c r="D64" s="39"/>
      <c r="E64" s="39"/>
      <c r="F64" s="48" t="s">
        <v>1085</v>
      </c>
      <c r="G64" s="39"/>
      <c r="H64" s="43" t="s">
        <v>1086</v>
      </c>
      <c r="I64" s="40" t="s">
        <v>28</v>
      </c>
      <c r="J64" s="46" t="s">
        <v>126</v>
      </c>
      <c r="K64" s="45">
        <v>46182</v>
      </c>
      <c r="L64" s="46" t="s">
        <v>66</v>
      </c>
      <c r="M64" s="47"/>
      <c r="N64" s="48" t="s">
        <v>1087</v>
      </c>
      <c r="O64" s="48"/>
      <c r="P64" s="39"/>
      <c r="Q64" s="62"/>
      <c r="R64" s="74"/>
      <c r="S64" s="49" t="s">
        <v>3465</v>
      </c>
    </row>
    <row r="65" spans="1:19" ht="40.5" x14ac:dyDescent="0.25">
      <c r="A65" s="49" t="s">
        <v>601</v>
      </c>
      <c r="B65" s="23"/>
      <c r="C65" s="23"/>
      <c r="D65" s="49"/>
      <c r="E65" s="49"/>
      <c r="F65" s="23" t="s">
        <v>1088</v>
      </c>
      <c r="G65" s="49"/>
      <c r="H65" s="24" t="s">
        <v>895</v>
      </c>
      <c r="I65" s="23" t="s">
        <v>28</v>
      </c>
      <c r="J65" s="53" t="s">
        <v>126</v>
      </c>
      <c r="K65" s="52">
        <v>46182</v>
      </c>
      <c r="L65" s="53" t="s">
        <v>66</v>
      </c>
      <c r="M65" s="54"/>
      <c r="N65" s="23" t="s">
        <v>1087</v>
      </c>
      <c r="O65" s="23"/>
      <c r="P65" s="49"/>
      <c r="Q65" s="60"/>
      <c r="R65" s="23"/>
      <c r="S65" s="49" t="s">
        <v>3465</v>
      </c>
    </row>
    <row r="66" spans="1:19" ht="189" x14ac:dyDescent="0.25">
      <c r="A66" s="39" t="s">
        <v>1902</v>
      </c>
      <c r="B66" s="40" t="s">
        <v>2024</v>
      </c>
      <c r="C66" s="41" t="s">
        <v>19</v>
      </c>
      <c r="D66" s="39"/>
      <c r="E66" s="39"/>
      <c r="F66" s="40" t="s">
        <v>2026</v>
      </c>
      <c r="G66" s="39"/>
      <c r="H66" s="76" t="s">
        <v>2027</v>
      </c>
      <c r="I66" s="41" t="s">
        <v>28</v>
      </c>
      <c r="J66" s="77" t="s">
        <v>126</v>
      </c>
      <c r="K66" s="45">
        <v>46213</v>
      </c>
      <c r="L66" s="46" t="s">
        <v>66</v>
      </c>
      <c r="M66" s="78"/>
      <c r="N66" s="48" t="s">
        <v>3484</v>
      </c>
      <c r="O66" s="40"/>
      <c r="P66" s="48"/>
      <c r="Q66" s="45">
        <v>46227</v>
      </c>
      <c r="R66" s="48"/>
      <c r="S66" s="39" t="s">
        <v>3455</v>
      </c>
    </row>
    <row r="67" spans="1:19" ht="189" x14ac:dyDescent="0.25">
      <c r="A67" s="39" t="s">
        <v>1902</v>
      </c>
      <c r="B67" s="40"/>
      <c r="C67" s="41"/>
      <c r="D67" s="39"/>
      <c r="E67" s="39"/>
      <c r="F67" s="40" t="s">
        <v>2029</v>
      </c>
      <c r="G67" s="39"/>
      <c r="H67" s="76" t="s">
        <v>2030</v>
      </c>
      <c r="I67" s="41" t="s">
        <v>28</v>
      </c>
      <c r="J67" s="44" t="s">
        <v>126</v>
      </c>
      <c r="K67" s="45">
        <v>46213</v>
      </c>
      <c r="L67" s="46" t="s">
        <v>66</v>
      </c>
      <c r="M67" s="78"/>
      <c r="N67" s="48" t="s">
        <v>3484</v>
      </c>
      <c r="O67" s="40"/>
      <c r="P67" s="48"/>
      <c r="Q67" s="45">
        <v>46227</v>
      </c>
      <c r="R67" s="48"/>
      <c r="S67" s="39" t="s">
        <v>3455</v>
      </c>
    </row>
    <row r="68" spans="1:19" ht="189" x14ac:dyDescent="0.25">
      <c r="A68" s="39" t="s">
        <v>1902</v>
      </c>
      <c r="B68" s="40"/>
      <c r="C68" s="41"/>
      <c r="D68" s="39"/>
      <c r="E68" s="39"/>
      <c r="F68" s="40" t="s">
        <v>2031</v>
      </c>
      <c r="G68" s="39"/>
      <c r="H68" s="76" t="s">
        <v>2032</v>
      </c>
      <c r="I68" s="41" t="s">
        <v>28</v>
      </c>
      <c r="J68" s="44" t="s">
        <v>126</v>
      </c>
      <c r="K68" s="45">
        <v>46213</v>
      </c>
      <c r="L68" s="46" t="s">
        <v>66</v>
      </c>
      <c r="M68" s="47"/>
      <c r="N68" s="48" t="s">
        <v>3484</v>
      </c>
      <c r="O68" s="40"/>
      <c r="P68" s="48"/>
      <c r="Q68" s="45">
        <v>46227</v>
      </c>
      <c r="R68" s="48"/>
      <c r="S68" s="39" t="s">
        <v>3455</v>
      </c>
    </row>
    <row r="69" spans="1:19" ht="189" x14ac:dyDescent="0.25">
      <c r="A69" s="39" t="s">
        <v>1902</v>
      </c>
      <c r="B69" s="40"/>
      <c r="C69" s="41"/>
      <c r="D69" s="39"/>
      <c r="E69" s="39"/>
      <c r="F69" s="40" t="s">
        <v>2033</v>
      </c>
      <c r="G69" s="39"/>
      <c r="H69" s="76" t="s">
        <v>2034</v>
      </c>
      <c r="I69" s="41" t="s">
        <v>28</v>
      </c>
      <c r="J69" s="44" t="s">
        <v>126</v>
      </c>
      <c r="K69" s="45">
        <v>46213</v>
      </c>
      <c r="L69" s="46" t="s">
        <v>66</v>
      </c>
      <c r="M69" s="47"/>
      <c r="N69" s="48" t="s">
        <v>3484</v>
      </c>
      <c r="O69" s="40"/>
      <c r="P69" s="48"/>
      <c r="Q69" s="45">
        <v>46227</v>
      </c>
      <c r="R69" s="48"/>
      <c r="S69" s="39" t="s">
        <v>3455</v>
      </c>
    </row>
    <row r="70" spans="1:19" ht="189" x14ac:dyDescent="0.25">
      <c r="A70" s="39" t="s">
        <v>1902</v>
      </c>
      <c r="B70" s="40"/>
      <c r="C70" s="41"/>
      <c r="D70" s="39"/>
      <c r="E70" s="39"/>
      <c r="F70" s="40" t="s">
        <v>2035</v>
      </c>
      <c r="G70" s="39"/>
      <c r="H70" s="76" t="s">
        <v>2036</v>
      </c>
      <c r="I70" s="41" t="s">
        <v>28</v>
      </c>
      <c r="J70" s="44" t="s">
        <v>126</v>
      </c>
      <c r="K70" s="45">
        <v>46213</v>
      </c>
      <c r="L70" s="46" t="s">
        <v>66</v>
      </c>
      <c r="M70" s="47"/>
      <c r="N70" s="48" t="s">
        <v>3484</v>
      </c>
      <c r="O70" s="40"/>
      <c r="P70" s="48"/>
      <c r="Q70" s="45">
        <v>46227</v>
      </c>
      <c r="R70" s="48"/>
      <c r="S70" s="39" t="s">
        <v>3455</v>
      </c>
    </row>
    <row r="71" spans="1:19" ht="189" x14ac:dyDescent="0.25">
      <c r="A71" s="39" t="s">
        <v>1902</v>
      </c>
      <c r="B71" s="40"/>
      <c r="C71" s="41"/>
      <c r="D71" s="39"/>
      <c r="E71" s="39"/>
      <c r="F71" s="40" t="s">
        <v>2037</v>
      </c>
      <c r="G71" s="39"/>
      <c r="H71" s="76" t="s">
        <v>2038</v>
      </c>
      <c r="I71" s="41" t="s">
        <v>28</v>
      </c>
      <c r="J71" s="44" t="s">
        <v>126</v>
      </c>
      <c r="K71" s="45">
        <v>46213</v>
      </c>
      <c r="L71" s="46" t="s">
        <v>66</v>
      </c>
      <c r="M71" s="47"/>
      <c r="N71" s="48" t="s">
        <v>3484</v>
      </c>
      <c r="O71" s="40"/>
      <c r="P71" s="48"/>
      <c r="Q71" s="45">
        <v>46227</v>
      </c>
      <c r="R71" s="48"/>
      <c r="S71" s="39" t="s">
        <v>3455</v>
      </c>
    </row>
    <row r="72" spans="1:19" ht="189" x14ac:dyDescent="0.25">
      <c r="A72" s="39" t="s">
        <v>1902</v>
      </c>
      <c r="B72" s="40" t="s">
        <v>2039</v>
      </c>
      <c r="C72" s="41" t="s">
        <v>601</v>
      </c>
      <c r="D72" s="39"/>
      <c r="E72" s="39"/>
      <c r="F72" s="40" t="s">
        <v>2041</v>
      </c>
      <c r="G72" s="39"/>
      <c r="H72" s="76" t="s">
        <v>2042</v>
      </c>
      <c r="I72" s="41" t="s">
        <v>28</v>
      </c>
      <c r="J72" s="44" t="s">
        <v>126</v>
      </c>
      <c r="K72" s="45">
        <v>46213</v>
      </c>
      <c r="L72" s="46" t="s">
        <v>66</v>
      </c>
      <c r="M72" s="47"/>
      <c r="N72" s="48" t="s">
        <v>3484</v>
      </c>
      <c r="O72" s="40"/>
      <c r="P72" s="48"/>
      <c r="Q72" s="45">
        <v>46227</v>
      </c>
      <c r="R72" s="48"/>
      <c r="S72" s="39" t="s">
        <v>3455</v>
      </c>
    </row>
    <row r="73" spans="1:19" ht="189" x14ac:dyDescent="0.25">
      <c r="A73" s="39" t="s">
        <v>1902</v>
      </c>
      <c r="B73" s="40"/>
      <c r="C73" s="41"/>
      <c r="D73" s="39"/>
      <c r="E73" s="39"/>
      <c r="F73" s="40" t="s">
        <v>2043</v>
      </c>
      <c r="G73" s="39"/>
      <c r="H73" s="76" t="s">
        <v>2044</v>
      </c>
      <c r="I73" s="41" t="s">
        <v>28</v>
      </c>
      <c r="J73" s="44" t="s">
        <v>126</v>
      </c>
      <c r="K73" s="45">
        <v>46213</v>
      </c>
      <c r="L73" s="46" t="s">
        <v>66</v>
      </c>
      <c r="M73" s="47"/>
      <c r="N73" s="48" t="s">
        <v>3484</v>
      </c>
      <c r="O73" s="40"/>
      <c r="P73" s="48"/>
      <c r="Q73" s="45">
        <v>46227</v>
      </c>
      <c r="R73" s="48"/>
      <c r="S73" s="39" t="s">
        <v>3455</v>
      </c>
    </row>
    <row r="74" spans="1:19" ht="189" x14ac:dyDescent="0.25">
      <c r="A74" s="39" t="s">
        <v>1902</v>
      </c>
      <c r="B74" s="40"/>
      <c r="C74" s="41"/>
      <c r="D74" s="39"/>
      <c r="E74" s="39"/>
      <c r="F74" s="40" t="s">
        <v>2045</v>
      </c>
      <c r="G74" s="39"/>
      <c r="H74" s="76" t="s">
        <v>2046</v>
      </c>
      <c r="I74" s="41" t="s">
        <v>28</v>
      </c>
      <c r="J74" s="44" t="s">
        <v>126</v>
      </c>
      <c r="K74" s="45">
        <v>46213</v>
      </c>
      <c r="L74" s="46" t="s">
        <v>66</v>
      </c>
      <c r="M74" s="47"/>
      <c r="N74" s="48" t="s">
        <v>3484</v>
      </c>
      <c r="O74" s="40"/>
      <c r="P74" s="48"/>
      <c r="Q74" s="45">
        <v>46227</v>
      </c>
      <c r="R74" s="48"/>
      <c r="S74" s="39" t="s">
        <v>3455</v>
      </c>
    </row>
    <row r="75" spans="1:19" ht="189" x14ac:dyDescent="0.25">
      <c r="A75" s="39" t="s">
        <v>1902</v>
      </c>
      <c r="B75" s="40"/>
      <c r="C75" s="41"/>
      <c r="D75" s="39"/>
      <c r="E75" s="39"/>
      <c r="F75" s="40" t="s">
        <v>2047</v>
      </c>
      <c r="G75" s="39"/>
      <c r="H75" s="76" t="s">
        <v>2048</v>
      </c>
      <c r="I75" s="41" t="s">
        <v>28</v>
      </c>
      <c r="J75" s="44" t="s">
        <v>126</v>
      </c>
      <c r="K75" s="45">
        <v>46213</v>
      </c>
      <c r="L75" s="46" t="s">
        <v>66</v>
      </c>
      <c r="M75" s="47"/>
      <c r="N75" s="48" t="s">
        <v>3484</v>
      </c>
      <c r="O75" s="40"/>
      <c r="P75" s="48"/>
      <c r="Q75" s="45">
        <v>46227</v>
      </c>
      <c r="R75" s="48"/>
      <c r="S75" s="39" t="s">
        <v>3455</v>
      </c>
    </row>
    <row r="76" spans="1:19" ht="189" x14ac:dyDescent="0.25">
      <c r="A76" s="39" t="s">
        <v>1902</v>
      </c>
      <c r="B76" s="40"/>
      <c r="C76" s="41"/>
      <c r="D76" s="39"/>
      <c r="E76" s="39"/>
      <c r="F76" s="40" t="s">
        <v>2049</v>
      </c>
      <c r="G76" s="39"/>
      <c r="H76" s="76" t="s">
        <v>2050</v>
      </c>
      <c r="I76" s="41" t="s">
        <v>28</v>
      </c>
      <c r="J76" s="44" t="s">
        <v>126</v>
      </c>
      <c r="K76" s="45">
        <v>46213</v>
      </c>
      <c r="L76" s="46" t="s">
        <v>66</v>
      </c>
      <c r="M76" s="47"/>
      <c r="N76" s="48" t="s">
        <v>3484</v>
      </c>
      <c r="O76" s="40"/>
      <c r="P76" s="48"/>
      <c r="Q76" s="45">
        <v>46227</v>
      </c>
      <c r="R76" s="48"/>
      <c r="S76" s="39" t="s">
        <v>3455</v>
      </c>
    </row>
    <row r="77" spans="1:19" ht="189" x14ac:dyDescent="0.25">
      <c r="A77" s="39" t="s">
        <v>1902</v>
      </c>
      <c r="B77" s="40" t="s">
        <v>2051</v>
      </c>
      <c r="C77" s="41" t="s">
        <v>601</v>
      </c>
      <c r="D77" s="39"/>
      <c r="E77" s="39"/>
      <c r="F77" s="40" t="s">
        <v>2053</v>
      </c>
      <c r="G77" s="39"/>
      <c r="H77" s="76" t="s">
        <v>2054</v>
      </c>
      <c r="I77" s="41" t="s">
        <v>28</v>
      </c>
      <c r="J77" s="44" t="s">
        <v>126</v>
      </c>
      <c r="K77" s="45">
        <v>46213</v>
      </c>
      <c r="L77" s="46" t="s">
        <v>66</v>
      </c>
      <c r="M77" s="47"/>
      <c r="N77" s="48" t="s">
        <v>3484</v>
      </c>
      <c r="O77" s="40"/>
      <c r="P77" s="48"/>
      <c r="Q77" s="45">
        <v>46227</v>
      </c>
      <c r="R77" s="48"/>
      <c r="S77" s="39" t="s">
        <v>3455</v>
      </c>
    </row>
    <row r="78" spans="1:19" ht="189" x14ac:dyDescent="0.25">
      <c r="A78" s="39" t="s">
        <v>1902</v>
      </c>
      <c r="B78" s="40"/>
      <c r="C78" s="41"/>
      <c r="D78" s="39"/>
      <c r="E78" s="39"/>
      <c r="F78" s="40" t="s">
        <v>2055</v>
      </c>
      <c r="G78" s="39"/>
      <c r="H78" s="76" t="s">
        <v>2056</v>
      </c>
      <c r="I78" s="41" t="s">
        <v>28</v>
      </c>
      <c r="J78" s="44" t="s">
        <v>126</v>
      </c>
      <c r="K78" s="45">
        <v>46213</v>
      </c>
      <c r="L78" s="46" t="s">
        <v>66</v>
      </c>
      <c r="M78" s="47"/>
      <c r="N78" s="48" t="s">
        <v>3484</v>
      </c>
      <c r="O78" s="40"/>
      <c r="P78" s="48"/>
      <c r="Q78" s="45">
        <v>46227</v>
      </c>
      <c r="R78" s="48"/>
      <c r="S78" s="39" t="s">
        <v>3455</v>
      </c>
    </row>
    <row r="79" spans="1:19" ht="189" x14ac:dyDescent="0.25">
      <c r="A79" s="39" t="s">
        <v>1902</v>
      </c>
      <c r="B79" s="40"/>
      <c r="C79" s="41"/>
      <c r="D79" s="39"/>
      <c r="E79" s="39"/>
      <c r="F79" s="40" t="s">
        <v>2057</v>
      </c>
      <c r="G79" s="39"/>
      <c r="H79" s="76" t="s">
        <v>2058</v>
      </c>
      <c r="I79" s="41" t="s">
        <v>28</v>
      </c>
      <c r="J79" s="44" t="s">
        <v>126</v>
      </c>
      <c r="K79" s="45">
        <v>46213</v>
      </c>
      <c r="L79" s="46" t="s">
        <v>66</v>
      </c>
      <c r="M79" s="47"/>
      <c r="N79" s="48" t="s">
        <v>3484</v>
      </c>
      <c r="O79" s="40"/>
      <c r="P79" s="48"/>
      <c r="Q79" s="45">
        <v>46227</v>
      </c>
      <c r="R79" s="48"/>
      <c r="S79" s="39" t="s">
        <v>3455</v>
      </c>
    </row>
    <row r="80" spans="1:19" ht="189" x14ac:dyDescent="0.25">
      <c r="A80" s="39" t="s">
        <v>1902</v>
      </c>
      <c r="B80" s="40"/>
      <c r="C80" s="41"/>
      <c r="D80" s="39"/>
      <c r="E80" s="39"/>
      <c r="F80" s="40" t="s">
        <v>2059</v>
      </c>
      <c r="G80" s="39"/>
      <c r="H80" s="76" t="s">
        <v>2060</v>
      </c>
      <c r="I80" s="41" t="s">
        <v>28</v>
      </c>
      <c r="J80" s="44" t="s">
        <v>126</v>
      </c>
      <c r="K80" s="45">
        <v>46213</v>
      </c>
      <c r="L80" s="46" t="s">
        <v>66</v>
      </c>
      <c r="M80" s="47"/>
      <c r="N80" s="48" t="s">
        <v>3484</v>
      </c>
      <c r="O80" s="40"/>
      <c r="P80" s="48"/>
      <c r="Q80" s="45">
        <v>46227</v>
      </c>
      <c r="R80" s="48"/>
      <c r="S80" s="39" t="s">
        <v>3455</v>
      </c>
    </row>
    <row r="81" spans="1:19" ht="189" x14ac:dyDescent="0.25">
      <c r="A81" s="39" t="s">
        <v>1902</v>
      </c>
      <c r="B81" s="40" t="s">
        <v>2061</v>
      </c>
      <c r="C81" s="41" t="s">
        <v>2063</v>
      </c>
      <c r="D81" s="39"/>
      <c r="E81" s="39"/>
      <c r="F81" s="40" t="s">
        <v>2064</v>
      </c>
      <c r="G81" s="39"/>
      <c r="H81" s="76" t="s">
        <v>2065</v>
      </c>
      <c r="I81" s="41" t="s">
        <v>28</v>
      </c>
      <c r="J81" s="44" t="s">
        <v>126</v>
      </c>
      <c r="K81" s="45">
        <v>46213</v>
      </c>
      <c r="L81" s="46" t="s">
        <v>66</v>
      </c>
      <c r="M81" s="47"/>
      <c r="N81" s="48" t="s">
        <v>3484</v>
      </c>
      <c r="O81" s="40"/>
      <c r="P81" s="48"/>
      <c r="Q81" s="45">
        <v>46227</v>
      </c>
      <c r="R81" s="48"/>
      <c r="S81" s="39" t="s">
        <v>3455</v>
      </c>
    </row>
    <row r="82" spans="1:19" ht="189" x14ac:dyDescent="0.25">
      <c r="A82" s="39" t="s">
        <v>1902</v>
      </c>
      <c r="B82" s="40"/>
      <c r="C82" s="41"/>
      <c r="D82" s="39"/>
      <c r="E82" s="39"/>
      <c r="F82" s="40" t="s">
        <v>2066</v>
      </c>
      <c r="G82" s="39"/>
      <c r="H82" s="76" t="s">
        <v>2067</v>
      </c>
      <c r="I82" s="41" t="s">
        <v>28</v>
      </c>
      <c r="J82" s="44" t="s">
        <v>126</v>
      </c>
      <c r="K82" s="45">
        <v>46213</v>
      </c>
      <c r="L82" s="46" t="s">
        <v>66</v>
      </c>
      <c r="M82" s="47"/>
      <c r="N82" s="48" t="s">
        <v>3484</v>
      </c>
      <c r="O82" s="40"/>
      <c r="P82" s="48"/>
      <c r="Q82" s="45">
        <v>46227</v>
      </c>
      <c r="R82" s="48"/>
      <c r="S82" s="39" t="s">
        <v>3455</v>
      </c>
    </row>
    <row r="83" spans="1:19" ht="189" x14ac:dyDescent="0.25">
      <c r="A83" s="39" t="s">
        <v>1902</v>
      </c>
      <c r="B83" s="40"/>
      <c r="C83" s="41"/>
      <c r="D83" s="39"/>
      <c r="E83" s="39"/>
      <c r="F83" s="40" t="s">
        <v>2068</v>
      </c>
      <c r="G83" s="39"/>
      <c r="H83" s="76" t="s">
        <v>2069</v>
      </c>
      <c r="I83" s="41" t="s">
        <v>28</v>
      </c>
      <c r="J83" s="44" t="s">
        <v>126</v>
      </c>
      <c r="K83" s="45">
        <v>46213</v>
      </c>
      <c r="L83" s="46" t="s">
        <v>66</v>
      </c>
      <c r="M83" s="47"/>
      <c r="N83" s="48" t="s">
        <v>3484</v>
      </c>
      <c r="O83" s="40"/>
      <c r="P83" s="48"/>
      <c r="Q83" s="45">
        <v>46227</v>
      </c>
      <c r="R83" s="48"/>
      <c r="S83" s="39" t="s">
        <v>3455</v>
      </c>
    </row>
    <row r="84" spans="1:19" ht="189" x14ac:dyDescent="0.25">
      <c r="A84" s="39" t="s">
        <v>1902</v>
      </c>
      <c r="B84" s="40"/>
      <c r="C84" s="41"/>
      <c r="D84" s="39"/>
      <c r="E84" s="39"/>
      <c r="F84" s="40" t="s">
        <v>2070</v>
      </c>
      <c r="G84" s="39"/>
      <c r="H84" s="76" t="s">
        <v>2058</v>
      </c>
      <c r="I84" s="41" t="s">
        <v>28</v>
      </c>
      <c r="J84" s="44" t="s">
        <v>126</v>
      </c>
      <c r="K84" s="45">
        <v>46213</v>
      </c>
      <c r="L84" s="46" t="s">
        <v>66</v>
      </c>
      <c r="M84" s="47"/>
      <c r="N84" s="48" t="s">
        <v>3484</v>
      </c>
      <c r="O84" s="40"/>
      <c r="P84" s="48"/>
      <c r="Q84" s="45">
        <v>46227</v>
      </c>
      <c r="R84" s="48"/>
      <c r="S84" s="39" t="s">
        <v>3455</v>
      </c>
    </row>
    <row r="85" spans="1:19" ht="189" x14ac:dyDescent="0.25">
      <c r="A85" s="39" t="s">
        <v>1902</v>
      </c>
      <c r="B85" s="40"/>
      <c r="C85" s="41"/>
      <c r="D85" s="39"/>
      <c r="E85" s="39"/>
      <c r="F85" s="40" t="s">
        <v>2071</v>
      </c>
      <c r="G85" s="39"/>
      <c r="H85" s="76" t="s">
        <v>2072</v>
      </c>
      <c r="I85" s="41" t="s">
        <v>28</v>
      </c>
      <c r="J85" s="44" t="s">
        <v>126</v>
      </c>
      <c r="K85" s="45">
        <v>46213</v>
      </c>
      <c r="L85" s="46" t="s">
        <v>66</v>
      </c>
      <c r="M85" s="47"/>
      <c r="N85" s="48" t="s">
        <v>3484</v>
      </c>
      <c r="O85" s="40"/>
      <c r="P85" s="48"/>
      <c r="Q85" s="45">
        <v>46227</v>
      </c>
      <c r="R85" s="48"/>
      <c r="S85" s="39" t="s">
        <v>3455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93"/>
  <sheetViews>
    <sheetView topLeftCell="A61" zoomScale="115" zoomScaleNormal="115" workbookViewId="0">
      <selection activeCell="L77" sqref="L77"/>
    </sheetView>
  </sheetViews>
  <sheetFormatPr baseColWidth="10" defaultColWidth="9.140625" defaultRowHeight="15" x14ac:dyDescent="0.25"/>
  <cols>
    <col min="1" max="1" width="21.5703125" bestFit="1" customWidth="1"/>
    <col min="2" max="2" width="24.7109375" style="97" bestFit="1" customWidth="1"/>
    <col min="3" max="3" width="5.140625" bestFit="1" customWidth="1"/>
    <col min="4" max="4" width="4.42578125" bestFit="1" customWidth="1"/>
    <col min="5" max="5" width="13" bestFit="1" customWidth="1"/>
    <col min="6" max="6" width="25" bestFit="1" customWidth="1"/>
    <col min="7" max="7" width="11" bestFit="1" customWidth="1"/>
    <col min="8" max="9" width="12.5703125" bestFit="1" customWidth="1"/>
    <col min="10" max="10" width="25.140625" customWidth="1"/>
    <col min="11" max="11" width="12.5703125" bestFit="1" customWidth="1"/>
    <col min="12" max="12" width="22" customWidth="1"/>
  </cols>
  <sheetData>
    <row r="1" spans="1:5" ht="18.75" x14ac:dyDescent="0.3">
      <c r="A1" s="135" t="s">
        <v>3382</v>
      </c>
      <c r="B1" s="136"/>
      <c r="C1" s="136"/>
      <c r="D1" s="136"/>
      <c r="E1" s="136"/>
    </row>
    <row r="3" spans="1:5" ht="60" x14ac:dyDescent="0.25">
      <c r="A3" s="1" t="s">
        <v>3383</v>
      </c>
      <c r="B3" s="1" t="s">
        <v>3384</v>
      </c>
      <c r="C3" s="1" t="s">
        <v>3385</v>
      </c>
      <c r="D3" s="1"/>
      <c r="E3" s="1"/>
    </row>
    <row r="4" spans="1:5" x14ac:dyDescent="0.25">
      <c r="A4" s="15"/>
      <c r="B4" s="95"/>
      <c r="C4" s="15"/>
      <c r="D4" s="15"/>
      <c r="E4" s="15"/>
    </row>
    <row r="5" spans="1:5" x14ac:dyDescent="0.25">
      <c r="A5" s="16"/>
      <c r="B5" s="95"/>
      <c r="C5" s="15"/>
      <c r="D5" s="15"/>
      <c r="E5" s="15"/>
    </row>
    <row r="6" spans="1:5" x14ac:dyDescent="0.25">
      <c r="A6" s="15" t="s">
        <v>3386</v>
      </c>
      <c r="B6" s="95">
        <v>249</v>
      </c>
      <c r="C6" s="15"/>
      <c r="D6" s="15"/>
      <c r="E6" s="15"/>
    </row>
    <row r="7" spans="1:5" x14ac:dyDescent="0.25">
      <c r="A7" s="15" t="s">
        <v>3387</v>
      </c>
      <c r="B7" s="95">
        <v>260</v>
      </c>
      <c r="C7" s="15"/>
      <c r="D7" s="15"/>
      <c r="E7" s="15"/>
    </row>
    <row r="8" spans="1:5" ht="75" x14ac:dyDescent="0.25">
      <c r="A8" s="15" t="s">
        <v>3388</v>
      </c>
      <c r="B8" s="95">
        <v>246</v>
      </c>
      <c r="C8" s="15" t="s">
        <v>3389</v>
      </c>
      <c r="D8" s="15"/>
      <c r="E8" s="15"/>
    </row>
    <row r="9" spans="1:5" ht="105" x14ac:dyDescent="0.25">
      <c r="A9" s="15" t="s">
        <v>3390</v>
      </c>
      <c r="B9" s="95">
        <v>14</v>
      </c>
      <c r="C9" s="15" t="s">
        <v>3391</v>
      </c>
      <c r="D9" s="15"/>
      <c r="E9" s="15"/>
    </row>
    <row r="10" spans="1:5" x14ac:dyDescent="0.25">
      <c r="A10" s="15"/>
      <c r="B10" s="95"/>
      <c r="C10" s="15"/>
      <c r="D10" s="15"/>
      <c r="E10" s="15"/>
    </row>
    <row r="11" spans="1:5" x14ac:dyDescent="0.25">
      <c r="A11" s="16"/>
      <c r="B11" s="95"/>
      <c r="C11" s="15"/>
      <c r="D11" s="15"/>
      <c r="E11" s="15"/>
    </row>
    <row r="12" spans="1:5" x14ac:dyDescent="0.25">
      <c r="A12" s="15" t="s">
        <v>3392</v>
      </c>
      <c r="B12" s="95">
        <v>893</v>
      </c>
      <c r="C12" s="15"/>
      <c r="D12" s="15"/>
      <c r="E12" s="15"/>
    </row>
    <row r="13" spans="1:5" ht="30" x14ac:dyDescent="0.25">
      <c r="A13" s="15" t="s">
        <v>3393</v>
      </c>
      <c r="B13" s="95">
        <v>457</v>
      </c>
      <c r="C13" s="15" t="s">
        <v>3394</v>
      </c>
      <c r="D13" s="15"/>
      <c r="E13" s="15"/>
    </row>
    <row r="14" spans="1:5" ht="30" x14ac:dyDescent="0.25">
      <c r="A14" s="15" t="s">
        <v>3395</v>
      </c>
      <c r="B14" s="95">
        <v>82</v>
      </c>
      <c r="C14" s="15" t="s">
        <v>3396</v>
      </c>
      <c r="D14" s="15"/>
      <c r="E14" s="15"/>
    </row>
    <row r="15" spans="1:5" ht="30" x14ac:dyDescent="0.25">
      <c r="A15" s="15" t="s">
        <v>3397</v>
      </c>
      <c r="B15" s="95">
        <v>32</v>
      </c>
      <c r="C15" s="15" t="s">
        <v>3398</v>
      </c>
      <c r="D15" s="15"/>
      <c r="E15" s="15"/>
    </row>
    <row r="16" spans="1:5" ht="30" x14ac:dyDescent="0.25">
      <c r="A16" s="15" t="s">
        <v>3399</v>
      </c>
      <c r="B16" s="95">
        <v>34</v>
      </c>
      <c r="C16" s="15" t="s">
        <v>3400</v>
      </c>
      <c r="D16" s="15"/>
      <c r="E16" s="15"/>
    </row>
    <row r="17" spans="1:5" ht="30" x14ac:dyDescent="0.25">
      <c r="A17" s="15" t="s">
        <v>3401</v>
      </c>
      <c r="B17" s="95">
        <v>161</v>
      </c>
      <c r="C17" s="15" t="s">
        <v>3402</v>
      </c>
      <c r="D17" s="15"/>
      <c r="E17" s="15"/>
    </row>
    <row r="18" spans="1:5" ht="30" x14ac:dyDescent="0.25">
      <c r="A18" s="15" t="s">
        <v>3403</v>
      </c>
      <c r="B18" s="95">
        <v>84</v>
      </c>
      <c r="C18" s="15" t="s">
        <v>3404</v>
      </c>
      <c r="D18" s="15"/>
      <c r="E18" s="15"/>
    </row>
    <row r="19" spans="1:5" ht="30" x14ac:dyDescent="0.25">
      <c r="A19" s="15" t="s">
        <v>3405</v>
      </c>
      <c r="B19" s="95">
        <v>0</v>
      </c>
      <c r="C19" s="15" t="s">
        <v>3406</v>
      </c>
      <c r="D19" s="15"/>
      <c r="E19" s="15"/>
    </row>
    <row r="20" spans="1:5" ht="30" x14ac:dyDescent="0.25">
      <c r="A20" s="15" t="s">
        <v>3407</v>
      </c>
      <c r="B20" s="95">
        <v>43</v>
      </c>
      <c r="C20" s="15" t="s">
        <v>3408</v>
      </c>
      <c r="D20" s="15"/>
      <c r="E20" s="15"/>
    </row>
    <row r="21" spans="1:5" x14ac:dyDescent="0.25">
      <c r="A21" s="15"/>
      <c r="B21" s="95"/>
      <c r="C21" s="15"/>
      <c r="D21" s="15"/>
      <c r="E21" s="15"/>
    </row>
    <row r="22" spans="1:5" x14ac:dyDescent="0.25">
      <c r="A22" s="16"/>
      <c r="B22" s="95"/>
      <c r="C22" s="15"/>
      <c r="D22" s="15"/>
      <c r="E22" s="15"/>
    </row>
    <row r="23" spans="1:5" x14ac:dyDescent="0.25">
      <c r="A23" s="15" t="s">
        <v>3409</v>
      </c>
      <c r="B23" s="95">
        <v>178</v>
      </c>
      <c r="C23" s="15"/>
      <c r="D23" s="15"/>
      <c r="E23" s="15"/>
    </row>
    <row r="24" spans="1:5" x14ac:dyDescent="0.25">
      <c r="A24" s="15" t="s">
        <v>3410</v>
      </c>
      <c r="B24" s="95">
        <v>33</v>
      </c>
      <c r="C24" s="15"/>
      <c r="D24" s="15"/>
      <c r="E24" s="15"/>
    </row>
    <row r="25" spans="1:5" x14ac:dyDescent="0.25">
      <c r="A25" s="15" t="s">
        <v>3411</v>
      </c>
      <c r="B25" s="95">
        <v>27</v>
      </c>
      <c r="C25" s="15"/>
      <c r="D25" s="15"/>
      <c r="E25" s="15"/>
    </row>
    <row r="26" spans="1:5" x14ac:dyDescent="0.25">
      <c r="A26" s="15" t="s">
        <v>3412</v>
      </c>
      <c r="B26" s="95">
        <v>9</v>
      </c>
      <c r="C26" s="15"/>
      <c r="D26" s="15"/>
      <c r="E26" s="15"/>
    </row>
    <row r="27" spans="1:5" x14ac:dyDescent="0.25">
      <c r="A27" s="15" t="s">
        <v>3413</v>
      </c>
      <c r="B27" s="95">
        <v>2</v>
      </c>
      <c r="C27" s="15"/>
      <c r="D27" s="15"/>
      <c r="E27" s="15"/>
    </row>
    <row r="28" spans="1:5" x14ac:dyDescent="0.25">
      <c r="A28" s="15"/>
      <c r="B28" s="95"/>
      <c r="C28" s="15"/>
      <c r="D28" s="15"/>
      <c r="E28" s="15"/>
    </row>
    <row r="29" spans="1:5" x14ac:dyDescent="0.25">
      <c r="A29" s="16"/>
      <c r="B29" s="95"/>
      <c r="C29" s="15"/>
      <c r="D29" s="15"/>
      <c r="E29" s="15"/>
    </row>
    <row r="30" spans="1:5" ht="45" x14ac:dyDescent="0.25">
      <c r="A30" s="15" t="s">
        <v>3414</v>
      </c>
      <c r="B30" s="95" t="s">
        <v>3415</v>
      </c>
      <c r="C30" s="15" t="s">
        <v>3416</v>
      </c>
      <c r="D30" s="15" t="s">
        <v>3417</v>
      </c>
      <c r="E30" s="15" t="s">
        <v>2860</v>
      </c>
    </row>
    <row r="31" spans="1:5" ht="30" x14ac:dyDescent="0.25">
      <c r="A31" s="15" t="s">
        <v>1861</v>
      </c>
      <c r="B31" s="95">
        <v>2</v>
      </c>
      <c r="C31" s="15">
        <v>2</v>
      </c>
      <c r="D31" s="15" t="s">
        <v>3418</v>
      </c>
      <c r="E31" s="15">
        <v>9</v>
      </c>
    </row>
    <row r="32" spans="1:5" ht="30" x14ac:dyDescent="0.25">
      <c r="A32" s="15" t="s">
        <v>1246</v>
      </c>
      <c r="B32" s="95">
        <v>14</v>
      </c>
      <c r="C32" s="15">
        <v>14</v>
      </c>
      <c r="D32" s="15" t="s">
        <v>3418</v>
      </c>
      <c r="E32" s="15">
        <v>52</v>
      </c>
    </row>
    <row r="33" spans="1:12" ht="30" x14ac:dyDescent="0.25">
      <c r="A33" s="15" t="s">
        <v>1382</v>
      </c>
      <c r="B33" s="95">
        <v>7</v>
      </c>
      <c r="C33" s="15">
        <v>7</v>
      </c>
      <c r="D33" s="15" t="s">
        <v>3418</v>
      </c>
      <c r="E33" s="15">
        <v>32</v>
      </c>
    </row>
    <row r="34" spans="1:12" ht="30" x14ac:dyDescent="0.25">
      <c r="A34" s="15" t="s">
        <v>1775</v>
      </c>
      <c r="B34" s="95">
        <v>11</v>
      </c>
      <c r="C34" s="15">
        <v>11</v>
      </c>
      <c r="D34" s="15" t="s">
        <v>3418</v>
      </c>
      <c r="E34" s="15">
        <v>23</v>
      </c>
    </row>
    <row r="35" spans="1:12" x14ac:dyDescent="0.25">
      <c r="A35" s="15" t="s">
        <v>1089</v>
      </c>
      <c r="B35" s="95">
        <v>13</v>
      </c>
      <c r="C35" s="15">
        <v>12</v>
      </c>
      <c r="D35" s="15" t="s">
        <v>3419</v>
      </c>
      <c r="E35" s="15">
        <v>48</v>
      </c>
    </row>
    <row r="36" spans="1:12" x14ac:dyDescent="0.25">
      <c r="A36" s="15" t="s">
        <v>1477</v>
      </c>
      <c r="B36" s="95">
        <v>10</v>
      </c>
      <c r="C36" s="15">
        <v>9</v>
      </c>
      <c r="D36" s="15" t="s">
        <v>3420</v>
      </c>
      <c r="E36" s="15">
        <v>38</v>
      </c>
    </row>
    <row r="37" spans="1:12" ht="30" x14ac:dyDescent="0.25">
      <c r="A37" s="15" t="s">
        <v>1594</v>
      </c>
      <c r="B37" s="95">
        <v>17</v>
      </c>
      <c r="C37" s="15">
        <v>17</v>
      </c>
      <c r="D37" s="15" t="s">
        <v>3418</v>
      </c>
      <c r="E37" s="15">
        <v>54</v>
      </c>
    </row>
    <row r="38" spans="1:12" ht="30" x14ac:dyDescent="0.25">
      <c r="A38" s="15" t="s">
        <v>1902</v>
      </c>
      <c r="B38" s="95">
        <v>39</v>
      </c>
      <c r="C38" s="15">
        <v>39</v>
      </c>
      <c r="D38" s="15" t="s">
        <v>3418</v>
      </c>
      <c r="E38" s="15">
        <v>146</v>
      </c>
    </row>
    <row r="39" spans="1:12" ht="30" x14ac:dyDescent="0.25">
      <c r="A39" s="15" t="s">
        <v>2286</v>
      </c>
      <c r="B39" s="95">
        <v>50</v>
      </c>
      <c r="C39" s="15">
        <v>38</v>
      </c>
      <c r="D39" s="15" t="s">
        <v>3421</v>
      </c>
      <c r="E39" s="15">
        <v>178</v>
      </c>
    </row>
    <row r="40" spans="1:12" ht="30" x14ac:dyDescent="0.25">
      <c r="A40" s="15" t="s">
        <v>601</v>
      </c>
      <c r="B40" s="95">
        <v>47</v>
      </c>
      <c r="C40" s="15">
        <v>47</v>
      </c>
      <c r="D40" s="15" t="s">
        <v>3418</v>
      </c>
      <c r="E40" s="15">
        <v>148</v>
      </c>
    </row>
    <row r="41" spans="1:12" ht="30" x14ac:dyDescent="0.25">
      <c r="A41" s="15" t="s">
        <v>19</v>
      </c>
      <c r="B41" s="95">
        <v>50</v>
      </c>
      <c r="C41" s="15">
        <v>50</v>
      </c>
      <c r="D41" s="15" t="s">
        <v>3418</v>
      </c>
      <c r="E41" s="15">
        <v>174</v>
      </c>
    </row>
    <row r="42" spans="1:12" x14ac:dyDescent="0.25">
      <c r="A42" s="15"/>
      <c r="B42" s="96">
        <f>SUM(B31:B41)</f>
        <v>260</v>
      </c>
      <c r="C42" s="15"/>
      <c r="D42" s="15"/>
      <c r="E42" s="15"/>
    </row>
    <row r="43" spans="1:12" x14ac:dyDescent="0.25">
      <c r="A43" s="16"/>
      <c r="B43" s="95"/>
      <c r="C43" s="15"/>
      <c r="D43" s="15"/>
      <c r="E43" s="15"/>
    </row>
    <row r="44" spans="1:12" ht="30" x14ac:dyDescent="0.25">
      <c r="A44" s="19" t="s">
        <v>3414</v>
      </c>
      <c r="B44" s="19" t="s">
        <v>30</v>
      </c>
      <c r="C44" s="19" t="s">
        <v>187</v>
      </c>
      <c r="D44" s="19" t="s">
        <v>373</v>
      </c>
      <c r="E44" s="19" t="s">
        <v>182</v>
      </c>
      <c r="F44" s="19" t="s">
        <v>52</v>
      </c>
      <c r="G44" s="19" t="s">
        <v>67</v>
      </c>
      <c r="H44" s="19" t="s">
        <v>2858</v>
      </c>
      <c r="I44" s="19" t="s">
        <v>900</v>
      </c>
      <c r="J44" s="19" t="s">
        <v>3422</v>
      </c>
    </row>
    <row r="45" spans="1:12" x14ac:dyDescent="0.25">
      <c r="A45" s="79" t="s">
        <v>1861</v>
      </c>
      <c r="B45" s="95">
        <v>8</v>
      </c>
      <c r="C45" s="15">
        <v>0</v>
      </c>
      <c r="D45" s="15">
        <v>0</v>
      </c>
      <c r="E45" s="15">
        <v>0</v>
      </c>
      <c r="F45" s="15">
        <v>1</v>
      </c>
      <c r="G45" s="15">
        <v>0</v>
      </c>
      <c r="H45" s="15">
        <v>0</v>
      </c>
      <c r="I45" s="15">
        <v>0</v>
      </c>
      <c r="J45" s="15">
        <v>9</v>
      </c>
      <c r="K45" t="s">
        <v>30</v>
      </c>
    </row>
    <row r="46" spans="1:12" x14ac:dyDescent="0.25">
      <c r="A46" s="79" t="s">
        <v>1246</v>
      </c>
      <c r="B46" s="95">
        <v>48</v>
      </c>
      <c r="C46" s="15">
        <v>1</v>
      </c>
      <c r="D46" s="15">
        <v>0</v>
      </c>
      <c r="E46" s="15">
        <v>0</v>
      </c>
      <c r="F46" s="15">
        <v>3</v>
      </c>
      <c r="G46" s="15">
        <v>0</v>
      </c>
      <c r="H46" s="15">
        <v>0</v>
      </c>
      <c r="I46" s="15">
        <v>0</v>
      </c>
      <c r="J46" s="15">
        <v>52</v>
      </c>
      <c r="K46" t="s">
        <v>30</v>
      </c>
    </row>
    <row r="47" spans="1:12" x14ac:dyDescent="0.25">
      <c r="A47" s="80" t="s">
        <v>1382</v>
      </c>
      <c r="B47" s="95">
        <v>14</v>
      </c>
      <c r="C47" s="15">
        <v>7</v>
      </c>
      <c r="D47" s="15">
        <v>0</v>
      </c>
      <c r="E47" s="15">
        <v>1</v>
      </c>
      <c r="F47" s="15">
        <v>6</v>
      </c>
      <c r="G47" s="15">
        <v>0</v>
      </c>
      <c r="H47" s="15">
        <v>0</v>
      </c>
      <c r="I47" s="15">
        <v>0</v>
      </c>
      <c r="J47" s="15">
        <v>32</v>
      </c>
      <c r="K47" t="s">
        <v>3488</v>
      </c>
      <c r="L47" t="s">
        <v>1440</v>
      </c>
    </row>
    <row r="48" spans="1:12" x14ac:dyDescent="0.25">
      <c r="A48" s="79" t="s">
        <v>1775</v>
      </c>
      <c r="B48" s="95">
        <v>17</v>
      </c>
      <c r="C48" s="15">
        <v>0</v>
      </c>
      <c r="D48" s="15">
        <v>0</v>
      </c>
      <c r="E48" s="15">
        <v>3</v>
      </c>
      <c r="F48" s="15">
        <v>3</v>
      </c>
      <c r="G48" s="15">
        <v>0</v>
      </c>
      <c r="H48" s="15">
        <v>0</v>
      </c>
      <c r="I48" s="15">
        <v>0</v>
      </c>
      <c r="J48" s="15">
        <v>23</v>
      </c>
      <c r="K48" t="s">
        <v>30</v>
      </c>
    </row>
    <row r="49" spans="1:12" x14ac:dyDescent="0.25">
      <c r="A49" s="79" t="s">
        <v>1089</v>
      </c>
      <c r="B49" s="95">
        <v>26</v>
      </c>
      <c r="C49" s="15">
        <v>0</v>
      </c>
      <c r="D49" s="15">
        <v>2</v>
      </c>
      <c r="E49" s="15">
        <v>3</v>
      </c>
      <c r="F49" s="15">
        <v>17</v>
      </c>
      <c r="G49" s="15">
        <v>0</v>
      </c>
      <c r="H49" s="15">
        <v>0</v>
      </c>
      <c r="I49" s="15">
        <v>0</v>
      </c>
      <c r="J49" s="15">
        <v>48</v>
      </c>
      <c r="K49" t="s">
        <v>30</v>
      </c>
    </row>
    <row r="50" spans="1:12" x14ac:dyDescent="0.25">
      <c r="A50" s="79" t="s">
        <v>1477</v>
      </c>
      <c r="B50" s="95">
        <v>26</v>
      </c>
      <c r="C50" s="15">
        <v>1</v>
      </c>
      <c r="D50" s="15">
        <v>0</v>
      </c>
      <c r="E50" s="15">
        <v>1</v>
      </c>
      <c r="F50" s="15">
        <v>8</v>
      </c>
      <c r="G50" s="15">
        <v>2</v>
      </c>
      <c r="H50" s="15">
        <v>0</v>
      </c>
      <c r="I50" s="15">
        <v>0</v>
      </c>
      <c r="J50" s="15">
        <v>38</v>
      </c>
      <c r="K50" t="s">
        <v>3488</v>
      </c>
    </row>
    <row r="51" spans="1:12" x14ac:dyDescent="0.25">
      <c r="A51" s="79" t="s">
        <v>1594</v>
      </c>
      <c r="B51" s="95">
        <v>34</v>
      </c>
      <c r="C51" s="15">
        <v>0</v>
      </c>
      <c r="D51" s="15">
        <v>0</v>
      </c>
      <c r="E51" s="15">
        <v>4</v>
      </c>
      <c r="F51" s="15">
        <v>16</v>
      </c>
      <c r="G51" s="15">
        <v>0</v>
      </c>
      <c r="H51" s="15">
        <v>0</v>
      </c>
      <c r="I51" s="15">
        <v>0</v>
      </c>
      <c r="J51" s="15">
        <v>54</v>
      </c>
      <c r="K51" t="s">
        <v>30</v>
      </c>
    </row>
    <row r="52" spans="1:12" x14ac:dyDescent="0.25">
      <c r="A52" s="15" t="s">
        <v>1902</v>
      </c>
      <c r="B52" s="95">
        <v>16</v>
      </c>
      <c r="C52" s="15">
        <v>6</v>
      </c>
      <c r="D52" s="15">
        <v>0</v>
      </c>
      <c r="E52" s="15">
        <v>0</v>
      </c>
      <c r="F52" s="15">
        <v>68</v>
      </c>
      <c r="G52" s="15">
        <v>20</v>
      </c>
      <c r="H52" s="15">
        <v>0</v>
      </c>
      <c r="I52" s="15">
        <v>36</v>
      </c>
      <c r="J52" s="15">
        <v>146</v>
      </c>
      <c r="K52" t="s">
        <v>3485</v>
      </c>
    </row>
    <row r="53" spans="1:12" x14ac:dyDescent="0.25">
      <c r="A53" s="80" t="s">
        <v>2286</v>
      </c>
      <c r="B53" s="95">
        <v>151</v>
      </c>
      <c r="C53" s="15">
        <v>1</v>
      </c>
      <c r="D53" s="15">
        <v>20</v>
      </c>
      <c r="E53" s="15">
        <v>0</v>
      </c>
      <c r="F53" s="15">
        <v>6</v>
      </c>
      <c r="G53" s="15">
        <v>0</v>
      </c>
      <c r="H53" s="15">
        <v>0</v>
      </c>
      <c r="I53" s="15">
        <v>0</v>
      </c>
      <c r="J53" s="15">
        <v>178</v>
      </c>
      <c r="K53" t="s">
        <v>3490</v>
      </c>
    </row>
    <row r="54" spans="1:12" x14ac:dyDescent="0.25">
      <c r="A54" s="15" t="s">
        <v>601</v>
      </c>
      <c r="B54" s="95">
        <v>21</v>
      </c>
      <c r="C54" s="15">
        <v>49</v>
      </c>
      <c r="D54" s="15">
        <v>1</v>
      </c>
      <c r="E54" s="15">
        <v>7</v>
      </c>
      <c r="F54" s="15">
        <v>5</v>
      </c>
      <c r="G54" s="15">
        <v>46</v>
      </c>
      <c r="H54" s="15">
        <v>0</v>
      </c>
      <c r="I54" s="15">
        <v>7</v>
      </c>
      <c r="J54" s="15">
        <v>148</v>
      </c>
      <c r="K54" t="s">
        <v>3485</v>
      </c>
    </row>
    <row r="55" spans="1:12" x14ac:dyDescent="0.25">
      <c r="A55" s="80" t="s">
        <v>19</v>
      </c>
      <c r="B55" s="95">
        <v>104</v>
      </c>
      <c r="C55" s="15">
        <v>2</v>
      </c>
      <c r="D55" s="15">
        <v>9</v>
      </c>
      <c r="E55" s="15">
        <v>15</v>
      </c>
      <c r="F55" s="15">
        <v>28</v>
      </c>
      <c r="G55" s="15">
        <v>16</v>
      </c>
      <c r="H55" s="15">
        <v>0</v>
      </c>
      <c r="I55" s="15">
        <v>0</v>
      </c>
      <c r="J55" s="15">
        <v>174</v>
      </c>
      <c r="K55" t="s">
        <v>3488</v>
      </c>
      <c r="L55" t="s">
        <v>3487</v>
      </c>
    </row>
    <row r="56" spans="1:12" x14ac:dyDescent="0.25">
      <c r="A56" s="17" t="s">
        <v>3423</v>
      </c>
      <c r="B56" s="95">
        <v>465</v>
      </c>
      <c r="C56" s="15">
        <v>81</v>
      </c>
      <c r="D56" s="15">
        <v>32</v>
      </c>
      <c r="E56" s="15">
        <v>34</v>
      </c>
      <c r="F56" s="15">
        <v>161</v>
      </c>
      <c r="G56" s="15">
        <v>84</v>
      </c>
      <c r="H56" s="15">
        <v>0</v>
      </c>
      <c r="I56" s="15">
        <v>43</v>
      </c>
      <c r="J56" s="15">
        <v>902</v>
      </c>
    </row>
    <row r="58" spans="1:12" x14ac:dyDescent="0.25">
      <c r="J58" t="s">
        <v>3486</v>
      </c>
    </row>
    <row r="59" spans="1:12" x14ac:dyDescent="0.25">
      <c r="A59" s="89" t="s">
        <v>3531</v>
      </c>
    </row>
    <row r="60" spans="1:12" x14ac:dyDescent="0.25">
      <c r="A60" s="94">
        <v>46279</v>
      </c>
      <c r="B60" s="97" t="e" vm="1">
        <v>#VALUE!</v>
      </c>
    </row>
    <row r="61" spans="1:12" x14ac:dyDescent="0.25">
      <c r="A61" s="94">
        <v>46280</v>
      </c>
    </row>
    <row r="62" spans="1:12" x14ac:dyDescent="0.25">
      <c r="A62" s="94"/>
    </row>
    <row r="64" spans="1:12" x14ac:dyDescent="0.25">
      <c r="A64" s="137">
        <f ca="1">TODAY()</f>
        <v>46281</v>
      </c>
      <c r="B64" s="137"/>
      <c r="C64" s="137"/>
      <c r="D64" s="137"/>
      <c r="E64" s="137"/>
      <c r="F64" s="137"/>
      <c r="G64" s="137"/>
      <c r="H64" s="137"/>
    </row>
    <row r="65" spans="1:12" x14ac:dyDescent="0.25">
      <c r="A65" s="100" t="s">
        <v>3519</v>
      </c>
      <c r="B65" s="101" t="s">
        <v>3518</v>
      </c>
      <c r="C65" s="102"/>
      <c r="D65" s="102"/>
      <c r="E65" s="102"/>
      <c r="F65" s="102"/>
      <c r="G65" s="102"/>
      <c r="H65" s="102"/>
    </row>
    <row r="66" spans="1:12" s="97" customFormat="1" x14ac:dyDescent="0.25">
      <c r="A66" s="108" t="s">
        <v>3515</v>
      </c>
      <c r="B66" s="107" t="s">
        <v>52</v>
      </c>
      <c r="C66" s="107" t="s">
        <v>186</v>
      </c>
      <c r="D66" s="107" t="s">
        <v>30</v>
      </c>
      <c r="E66" s="107" t="s">
        <v>181</v>
      </c>
      <c r="F66" s="107" t="s">
        <v>623</v>
      </c>
      <c r="G66" s="109" t="s">
        <v>3516</v>
      </c>
      <c r="H66" s="107" t="s">
        <v>3517</v>
      </c>
    </row>
    <row r="67" spans="1:12" x14ac:dyDescent="0.25">
      <c r="A67" s="90" t="s">
        <v>1861</v>
      </c>
      <c r="B67" s="98">
        <v>1</v>
      </c>
      <c r="C67" s="103"/>
      <c r="D67" s="103">
        <v>8</v>
      </c>
      <c r="E67" s="103"/>
      <c r="F67" s="103"/>
      <c r="G67" s="103"/>
      <c r="H67" s="103">
        <v>9</v>
      </c>
    </row>
    <row r="68" spans="1:12" x14ac:dyDescent="0.25">
      <c r="A68" s="90" t="s">
        <v>1246</v>
      </c>
      <c r="B68" s="98">
        <v>3</v>
      </c>
      <c r="C68" s="103"/>
      <c r="D68" s="103">
        <v>49</v>
      </c>
      <c r="E68" s="103"/>
      <c r="F68" s="103"/>
      <c r="G68" s="103"/>
      <c r="H68" s="103">
        <v>52</v>
      </c>
    </row>
    <row r="69" spans="1:12" x14ac:dyDescent="0.25">
      <c r="A69" s="90" t="s">
        <v>1382</v>
      </c>
      <c r="B69" s="98">
        <v>6</v>
      </c>
      <c r="C69" s="103"/>
      <c r="D69" s="103">
        <v>25</v>
      </c>
      <c r="E69" s="103">
        <v>1</v>
      </c>
      <c r="F69" s="103"/>
      <c r="G69" s="103"/>
      <c r="H69" s="103">
        <v>32</v>
      </c>
      <c r="J69" s="110" t="s">
        <v>1387</v>
      </c>
      <c r="K69" s="110" t="s">
        <v>1427</v>
      </c>
    </row>
    <row r="70" spans="1:12" x14ac:dyDescent="0.25">
      <c r="A70" s="90" t="s">
        <v>1775</v>
      </c>
      <c r="B70" s="98">
        <v>3</v>
      </c>
      <c r="C70" s="103"/>
      <c r="D70" s="103">
        <v>17</v>
      </c>
      <c r="E70" s="103">
        <v>3</v>
      </c>
      <c r="F70" s="103"/>
      <c r="G70" s="103"/>
      <c r="H70" s="103">
        <v>23</v>
      </c>
    </row>
    <row r="71" spans="1:12" x14ac:dyDescent="0.25">
      <c r="A71" s="90" t="s">
        <v>1089</v>
      </c>
      <c r="B71" s="98">
        <v>21</v>
      </c>
      <c r="C71" s="103"/>
      <c r="D71" s="103">
        <v>26</v>
      </c>
      <c r="E71" s="103">
        <v>1</v>
      </c>
      <c r="F71" s="103"/>
      <c r="G71" s="103"/>
      <c r="H71" s="103">
        <v>48</v>
      </c>
      <c r="J71" s="111" t="s">
        <v>1184</v>
      </c>
      <c r="K71" s="111" t="s">
        <v>1199</v>
      </c>
      <c r="L71" s="112" t="s">
        <v>1236</v>
      </c>
    </row>
    <row r="72" spans="1:12" x14ac:dyDescent="0.25">
      <c r="A72" s="90" t="s">
        <v>1477</v>
      </c>
      <c r="B72" s="98">
        <v>8</v>
      </c>
      <c r="C72" s="103"/>
      <c r="D72" s="103">
        <v>28</v>
      </c>
      <c r="E72" s="103">
        <v>2</v>
      </c>
      <c r="F72" s="103"/>
      <c r="G72" s="103"/>
      <c r="H72" s="103">
        <v>38</v>
      </c>
      <c r="J72" s="110" t="s">
        <v>1525</v>
      </c>
      <c r="K72" s="110" t="s">
        <v>1534</v>
      </c>
      <c r="L72" s="113"/>
    </row>
    <row r="73" spans="1:12" x14ac:dyDescent="0.25">
      <c r="A73" s="90" t="s">
        <v>1594</v>
      </c>
      <c r="B73" s="98">
        <v>16</v>
      </c>
      <c r="C73" s="103"/>
      <c r="D73" s="103">
        <v>36</v>
      </c>
      <c r="E73" s="103">
        <v>2</v>
      </c>
      <c r="F73" s="103"/>
      <c r="G73" s="103"/>
      <c r="H73" s="103">
        <v>54</v>
      </c>
      <c r="J73" s="110" t="s">
        <v>1703</v>
      </c>
      <c r="K73" s="110" t="s">
        <v>1713</v>
      </c>
      <c r="L73" s="110" t="s">
        <v>1733</v>
      </c>
    </row>
    <row r="74" spans="1:12" x14ac:dyDescent="0.25">
      <c r="A74" s="90" t="s">
        <v>1902</v>
      </c>
      <c r="B74" s="98">
        <v>33</v>
      </c>
      <c r="C74" s="103">
        <v>4</v>
      </c>
      <c r="D74" s="103">
        <v>38</v>
      </c>
      <c r="E74" s="103"/>
      <c r="F74" s="103">
        <v>43</v>
      </c>
      <c r="G74" s="103"/>
      <c r="H74" s="103">
        <v>118</v>
      </c>
    </row>
    <row r="75" spans="1:12" x14ac:dyDescent="0.25">
      <c r="A75" s="90" t="s">
        <v>2286</v>
      </c>
      <c r="B75" s="98">
        <v>6</v>
      </c>
      <c r="C75" s="103"/>
      <c r="D75" s="103">
        <v>155</v>
      </c>
      <c r="E75" s="103"/>
      <c r="F75" s="103">
        <v>27</v>
      </c>
      <c r="G75" s="103"/>
      <c r="H75" s="103">
        <v>188</v>
      </c>
    </row>
    <row r="76" spans="1:12" x14ac:dyDescent="0.25">
      <c r="A76" s="90" t="s">
        <v>601</v>
      </c>
      <c r="B76" s="98">
        <v>5</v>
      </c>
      <c r="C76" s="103">
        <v>6</v>
      </c>
      <c r="D76" s="103">
        <v>109</v>
      </c>
      <c r="E76" s="103">
        <v>7</v>
      </c>
      <c r="F76" s="103">
        <v>14</v>
      </c>
      <c r="G76" s="103"/>
      <c r="H76" s="103">
        <v>141</v>
      </c>
    </row>
    <row r="77" spans="1:12" x14ac:dyDescent="0.25">
      <c r="A77" s="90" t="s">
        <v>19</v>
      </c>
      <c r="B77" s="98">
        <v>28</v>
      </c>
      <c r="C77" s="103"/>
      <c r="D77" s="103">
        <v>144</v>
      </c>
      <c r="E77" s="103">
        <v>2</v>
      </c>
      <c r="F77" s="103"/>
      <c r="G77" s="103"/>
      <c r="H77" s="103">
        <v>174</v>
      </c>
    </row>
    <row r="78" spans="1:12" x14ac:dyDescent="0.25">
      <c r="A78" s="91" t="s">
        <v>3516</v>
      </c>
      <c r="B78" s="98"/>
      <c r="C78" s="103"/>
      <c r="D78" s="103"/>
      <c r="E78" s="103"/>
      <c r="F78" s="103"/>
      <c r="G78" s="103"/>
      <c r="H78" s="103"/>
    </row>
    <row r="79" spans="1:12" x14ac:dyDescent="0.25">
      <c r="A79" s="87" t="s">
        <v>3517</v>
      </c>
      <c r="B79" s="97">
        <v>130</v>
      </c>
      <c r="C79" s="102">
        <v>10</v>
      </c>
      <c r="D79" s="102">
        <v>635</v>
      </c>
      <c r="E79" s="102">
        <v>18</v>
      </c>
      <c r="F79" s="102">
        <v>84</v>
      </c>
      <c r="G79" s="102"/>
      <c r="H79" s="102">
        <v>877</v>
      </c>
    </row>
    <row r="81" spans="2:13" x14ac:dyDescent="0.25">
      <c r="B81" s="99" t="s">
        <v>3530</v>
      </c>
      <c r="C81" s="92"/>
      <c r="D81" s="92"/>
      <c r="E81" s="92"/>
      <c r="F81" s="93">
        <f>GETPIVOTDATA("Resultado",$A$65,"Resultado","NOK")+GETPIVOTDATA("Resultado",$A$65,"Resultado","OK CON OBS.")+GETPIVOTDATA("Resultado",$A$65,"Resultado","POSTERGADA A GARANTÍA")</f>
        <v>112</v>
      </c>
    </row>
    <row r="90" spans="2:13" x14ac:dyDescent="0.25">
      <c r="J90" s="110"/>
      <c r="K90" s="110"/>
      <c r="L90" s="110"/>
      <c r="M90" s="110"/>
    </row>
    <row r="91" spans="2:13" x14ac:dyDescent="0.25">
      <c r="J91" s="114"/>
      <c r="K91" s="110"/>
      <c r="L91" s="110"/>
      <c r="M91" s="110"/>
    </row>
    <row r="92" spans="2:13" x14ac:dyDescent="0.25">
      <c r="J92" s="110"/>
      <c r="K92" s="110"/>
      <c r="L92" s="110"/>
      <c r="M92" s="110"/>
    </row>
    <row r="93" spans="2:13" x14ac:dyDescent="0.25">
      <c r="J93" s="110" t="s">
        <v>3534</v>
      </c>
      <c r="K93" s="115" t="s">
        <v>1787</v>
      </c>
      <c r="L93" s="115" t="s">
        <v>1850</v>
      </c>
      <c r="M93" s="115" t="s">
        <v>1859</v>
      </c>
    </row>
  </sheetData>
  <mergeCells count="2">
    <mergeCell ref="A1:E1"/>
    <mergeCell ref="A64:H64"/>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4E53-2D1D-4A80-B15B-26756FE04837}">
  <dimension ref="A1:F583"/>
  <sheetViews>
    <sheetView topLeftCell="A569" workbookViewId="0">
      <selection activeCell="E583" sqref="E583"/>
    </sheetView>
  </sheetViews>
  <sheetFormatPr baseColWidth="10" defaultRowHeight="15" x14ac:dyDescent="0.25"/>
  <cols>
    <col min="2" max="2" width="11.42578125" style="102"/>
  </cols>
  <sheetData>
    <row r="1" spans="1:6" x14ac:dyDescent="0.25">
      <c r="A1" s="85"/>
      <c r="B1" s="116"/>
      <c r="C1" s="85"/>
      <c r="D1" s="116"/>
      <c r="E1" s="85"/>
      <c r="F1" s="85"/>
    </row>
    <row r="2" spans="1:6" x14ac:dyDescent="0.25">
      <c r="A2" s="138"/>
      <c r="B2" s="139" t="s">
        <v>3535</v>
      </c>
      <c r="C2" s="139" t="s">
        <v>3536</v>
      </c>
      <c r="D2" s="117" t="s">
        <v>3450</v>
      </c>
      <c r="E2" s="139" t="s">
        <v>3537</v>
      </c>
      <c r="F2" s="141"/>
    </row>
    <row r="3" spans="1:6" x14ac:dyDescent="0.25">
      <c r="A3" s="138"/>
      <c r="B3" s="140"/>
      <c r="C3" s="140"/>
      <c r="D3" s="118" t="s">
        <v>3489</v>
      </c>
      <c r="E3" s="140"/>
      <c r="F3" s="141"/>
    </row>
    <row r="4" spans="1:6" x14ac:dyDescent="0.25">
      <c r="A4" s="85"/>
      <c r="B4" s="119" t="s">
        <v>1387</v>
      </c>
      <c r="C4" s="86" t="s">
        <v>3538</v>
      </c>
      <c r="D4" s="120">
        <v>46232</v>
      </c>
      <c r="E4" s="120">
        <v>46225</v>
      </c>
      <c r="F4" s="85"/>
    </row>
    <row r="5" spans="1:6" x14ac:dyDescent="0.25">
      <c r="A5" s="85"/>
      <c r="B5" s="119" t="s">
        <v>1387</v>
      </c>
      <c r="C5" s="86" t="s">
        <v>3538</v>
      </c>
      <c r="D5" s="120">
        <v>46245</v>
      </c>
      <c r="E5" s="121"/>
      <c r="F5" s="85"/>
    </row>
    <row r="6" spans="1:6" x14ac:dyDescent="0.25">
      <c r="A6" s="85"/>
      <c r="B6" s="119" t="s">
        <v>1390</v>
      </c>
      <c r="C6" s="86" t="s">
        <v>3538</v>
      </c>
      <c r="D6" s="120">
        <v>46232</v>
      </c>
      <c r="E6" s="120">
        <v>46225</v>
      </c>
      <c r="F6" s="85"/>
    </row>
    <row r="7" spans="1:6" x14ac:dyDescent="0.25">
      <c r="A7" s="85"/>
      <c r="B7" s="119" t="s">
        <v>1390</v>
      </c>
      <c r="C7" s="86" t="s">
        <v>3538</v>
      </c>
      <c r="D7" s="120">
        <v>46245</v>
      </c>
      <c r="E7" s="121"/>
      <c r="F7" s="85"/>
    </row>
    <row r="8" spans="1:6" x14ac:dyDescent="0.25">
      <c r="A8" s="85"/>
      <c r="B8" s="119" t="s">
        <v>1394</v>
      </c>
      <c r="C8" s="86" t="s">
        <v>3538</v>
      </c>
      <c r="D8" s="120">
        <v>46232</v>
      </c>
      <c r="E8" s="120">
        <v>46225</v>
      </c>
      <c r="F8" s="85"/>
    </row>
    <row r="9" spans="1:6" x14ac:dyDescent="0.25">
      <c r="A9" s="85"/>
      <c r="B9" s="119" t="s">
        <v>1394</v>
      </c>
      <c r="C9" s="86" t="s">
        <v>3538</v>
      </c>
      <c r="D9" s="120">
        <v>46245</v>
      </c>
      <c r="E9" s="121"/>
      <c r="F9" s="85"/>
    </row>
    <row r="10" spans="1:6" x14ac:dyDescent="0.25">
      <c r="A10" s="85"/>
      <c r="B10" s="122" t="s">
        <v>1399</v>
      </c>
      <c r="C10" s="122" t="s">
        <v>3489</v>
      </c>
      <c r="D10" s="120">
        <v>46233</v>
      </c>
      <c r="E10" s="120">
        <v>46232</v>
      </c>
      <c r="F10" s="85"/>
    </row>
    <row r="11" spans="1:6" x14ac:dyDescent="0.25">
      <c r="A11" s="85"/>
      <c r="B11" s="122" t="s">
        <v>1401</v>
      </c>
      <c r="C11" s="122" t="s">
        <v>3489</v>
      </c>
      <c r="D11" s="120">
        <v>46233</v>
      </c>
      <c r="E11" s="120">
        <v>46232</v>
      </c>
      <c r="F11" s="85"/>
    </row>
    <row r="12" spans="1:6" x14ac:dyDescent="0.25">
      <c r="A12" s="85"/>
      <c r="B12" s="122" t="s">
        <v>1405</v>
      </c>
      <c r="C12" s="122" t="s">
        <v>3489</v>
      </c>
      <c r="D12" s="120">
        <v>46233</v>
      </c>
      <c r="E12" s="120">
        <v>46232</v>
      </c>
      <c r="F12" s="85"/>
    </row>
    <row r="13" spans="1:6" x14ac:dyDescent="0.25">
      <c r="A13" s="85"/>
      <c r="B13" s="122" t="s">
        <v>1407</v>
      </c>
      <c r="C13" s="122" t="s">
        <v>3489</v>
      </c>
      <c r="D13" s="120">
        <v>46233</v>
      </c>
      <c r="E13" s="120">
        <v>46232</v>
      </c>
      <c r="F13" s="85"/>
    </row>
    <row r="14" spans="1:6" x14ac:dyDescent="0.25">
      <c r="A14" s="85"/>
      <c r="B14" s="122" t="s">
        <v>1409</v>
      </c>
      <c r="C14" s="122" t="s">
        <v>3489</v>
      </c>
      <c r="D14" s="120">
        <v>46233</v>
      </c>
      <c r="E14" s="120">
        <v>46232</v>
      </c>
      <c r="F14" s="85"/>
    </row>
    <row r="15" spans="1:6" x14ac:dyDescent="0.25">
      <c r="A15" s="85"/>
      <c r="B15" s="119" t="s">
        <v>1414</v>
      </c>
      <c r="C15" s="86" t="s">
        <v>3538</v>
      </c>
      <c r="D15" s="120">
        <v>46232</v>
      </c>
      <c r="E15" s="120">
        <v>46225</v>
      </c>
      <c r="F15" s="85"/>
    </row>
    <row r="16" spans="1:6" x14ac:dyDescent="0.25">
      <c r="A16" s="85"/>
      <c r="B16" s="119" t="s">
        <v>1414</v>
      </c>
      <c r="C16" s="86" t="s">
        <v>3538</v>
      </c>
      <c r="D16" s="120">
        <v>46245</v>
      </c>
      <c r="E16" s="121"/>
      <c r="F16" s="85"/>
    </row>
    <row r="17" spans="1:6" x14ac:dyDescent="0.25">
      <c r="A17" s="85"/>
      <c r="B17" s="119" t="s">
        <v>1417</v>
      </c>
      <c r="C17" s="86" t="s">
        <v>3538</v>
      </c>
      <c r="D17" s="120">
        <v>46232</v>
      </c>
      <c r="E17" s="120">
        <v>46225</v>
      </c>
      <c r="F17" s="85"/>
    </row>
    <row r="18" spans="1:6" x14ac:dyDescent="0.25">
      <c r="A18" s="85"/>
      <c r="B18" s="119" t="s">
        <v>1417</v>
      </c>
      <c r="C18" s="86" t="s">
        <v>3538</v>
      </c>
      <c r="D18" s="120">
        <v>46245</v>
      </c>
      <c r="E18" s="121"/>
      <c r="F18" s="85"/>
    </row>
    <row r="19" spans="1:6" x14ac:dyDescent="0.25">
      <c r="A19" s="85"/>
      <c r="B19" s="119" t="s">
        <v>1419</v>
      </c>
      <c r="C19" s="86" t="s">
        <v>3538</v>
      </c>
      <c r="D19" s="120">
        <v>46232</v>
      </c>
      <c r="E19" s="120">
        <v>46225</v>
      </c>
      <c r="F19" s="85"/>
    </row>
    <row r="20" spans="1:6" x14ac:dyDescent="0.25">
      <c r="A20" s="85"/>
      <c r="B20" s="119" t="s">
        <v>1419</v>
      </c>
      <c r="C20" s="86" t="s">
        <v>3538</v>
      </c>
      <c r="D20" s="120">
        <v>46245</v>
      </c>
      <c r="E20" s="121"/>
      <c r="F20" s="85"/>
    </row>
    <row r="21" spans="1:6" x14ac:dyDescent="0.25">
      <c r="A21" s="85"/>
      <c r="B21" s="119" t="s">
        <v>1421</v>
      </c>
      <c r="C21" s="86" t="s">
        <v>3538</v>
      </c>
      <c r="D21" s="120">
        <v>46232</v>
      </c>
      <c r="E21" s="120">
        <v>46225</v>
      </c>
      <c r="F21" s="85"/>
    </row>
    <row r="22" spans="1:6" x14ac:dyDescent="0.25">
      <c r="A22" s="85"/>
      <c r="B22" s="119" t="s">
        <v>1421</v>
      </c>
      <c r="C22" s="86" t="s">
        <v>3538</v>
      </c>
      <c r="D22" s="120">
        <v>46245</v>
      </c>
      <c r="E22" s="121"/>
      <c r="F22" s="85"/>
    </row>
    <row r="23" spans="1:6" x14ac:dyDescent="0.25">
      <c r="A23" s="85"/>
      <c r="B23" s="119" t="s">
        <v>1423</v>
      </c>
      <c r="C23" s="86" t="s">
        <v>3538</v>
      </c>
      <c r="D23" s="120">
        <v>46232</v>
      </c>
      <c r="E23" s="120">
        <v>46225</v>
      </c>
      <c r="F23" s="85"/>
    </row>
    <row r="24" spans="1:6" x14ac:dyDescent="0.25">
      <c r="A24" s="85"/>
      <c r="B24" s="119" t="s">
        <v>1423</v>
      </c>
      <c r="C24" s="86" t="s">
        <v>3538</v>
      </c>
      <c r="D24" s="120">
        <v>46245</v>
      </c>
      <c r="E24" s="121"/>
      <c r="F24" s="85"/>
    </row>
    <row r="25" spans="1:6" x14ac:dyDescent="0.25">
      <c r="A25" s="85"/>
      <c r="B25" s="119" t="s">
        <v>1427</v>
      </c>
      <c r="C25" s="86" t="s">
        <v>3538</v>
      </c>
      <c r="D25" s="120">
        <v>46232</v>
      </c>
      <c r="E25" s="120">
        <v>46225</v>
      </c>
      <c r="F25" s="85"/>
    </row>
    <row r="26" spans="1:6" x14ac:dyDescent="0.25">
      <c r="A26" s="85"/>
      <c r="B26" s="119" t="s">
        <v>1427</v>
      </c>
      <c r="C26" s="86" t="s">
        <v>3538</v>
      </c>
      <c r="D26" s="120">
        <v>46245</v>
      </c>
      <c r="E26" s="121"/>
      <c r="F26" s="85"/>
    </row>
    <row r="27" spans="1:6" x14ac:dyDescent="0.25">
      <c r="A27" s="85"/>
      <c r="B27" s="119" t="s">
        <v>1430</v>
      </c>
      <c r="C27" s="86" t="s">
        <v>3538</v>
      </c>
      <c r="D27" s="120">
        <v>46232</v>
      </c>
      <c r="E27" s="120">
        <v>46225</v>
      </c>
      <c r="F27" s="85"/>
    </row>
    <row r="28" spans="1:6" x14ac:dyDescent="0.25">
      <c r="A28" s="85"/>
      <c r="B28" s="119" t="s">
        <v>1430</v>
      </c>
      <c r="C28" s="86" t="s">
        <v>3538</v>
      </c>
      <c r="D28" s="120">
        <v>46245</v>
      </c>
      <c r="E28" s="121"/>
      <c r="F28" s="85"/>
    </row>
    <row r="29" spans="1:6" x14ac:dyDescent="0.25">
      <c r="A29" s="85"/>
      <c r="B29" s="122" t="s">
        <v>3539</v>
      </c>
      <c r="C29" s="86" t="s">
        <v>3538</v>
      </c>
      <c r="D29" s="120">
        <v>46225</v>
      </c>
      <c r="E29" s="86"/>
      <c r="F29" s="85"/>
    </row>
    <row r="30" spans="1:6" x14ac:dyDescent="0.25">
      <c r="A30" s="85"/>
      <c r="B30" s="122" t="s">
        <v>3540</v>
      </c>
      <c r="C30" s="86" t="s">
        <v>3538</v>
      </c>
      <c r="D30" s="120">
        <v>46225</v>
      </c>
      <c r="E30" s="86"/>
      <c r="F30" s="85"/>
    </row>
    <row r="31" spans="1:6" x14ac:dyDescent="0.25">
      <c r="A31" s="85"/>
      <c r="B31" s="122" t="s">
        <v>3541</v>
      </c>
      <c r="C31" s="86" t="s">
        <v>3538</v>
      </c>
      <c r="D31" s="120">
        <v>46225</v>
      </c>
      <c r="E31" s="86"/>
      <c r="F31" s="85"/>
    </row>
    <row r="32" spans="1:6" x14ac:dyDescent="0.25">
      <c r="A32" s="85"/>
      <c r="B32" s="123" t="s">
        <v>1360</v>
      </c>
      <c r="C32" s="86" t="s">
        <v>3538</v>
      </c>
      <c r="D32" s="120">
        <v>46225</v>
      </c>
      <c r="E32" s="86"/>
      <c r="F32" s="85"/>
    </row>
    <row r="33" spans="1:6" x14ac:dyDescent="0.25">
      <c r="A33" s="85"/>
      <c r="B33" s="119" t="s">
        <v>1360</v>
      </c>
      <c r="C33" s="86" t="s">
        <v>3538</v>
      </c>
      <c r="D33" s="120">
        <v>46238</v>
      </c>
      <c r="E33" s="86"/>
      <c r="F33" s="85"/>
    </row>
    <row r="34" spans="1:6" x14ac:dyDescent="0.25">
      <c r="A34" s="85"/>
      <c r="B34" s="122" t="s">
        <v>1363</v>
      </c>
      <c r="C34" s="86" t="s">
        <v>3538</v>
      </c>
      <c r="D34" s="120">
        <v>46225</v>
      </c>
      <c r="E34" s="86"/>
      <c r="F34" s="85"/>
    </row>
    <row r="35" spans="1:6" x14ac:dyDescent="0.25">
      <c r="A35" s="85"/>
      <c r="B35" s="119" t="s">
        <v>1363</v>
      </c>
      <c r="C35" s="86" t="s">
        <v>3538</v>
      </c>
      <c r="D35" s="120">
        <v>46238</v>
      </c>
      <c r="E35" s="86"/>
      <c r="F35" s="85"/>
    </row>
    <row r="36" spans="1:6" x14ac:dyDescent="0.25">
      <c r="A36" s="85"/>
      <c r="B36" s="122" t="s">
        <v>1366</v>
      </c>
      <c r="C36" s="86" t="s">
        <v>3538</v>
      </c>
      <c r="D36" s="120">
        <v>46225</v>
      </c>
      <c r="E36" s="86"/>
      <c r="F36" s="85"/>
    </row>
    <row r="37" spans="1:6" x14ac:dyDescent="0.25">
      <c r="A37" s="85"/>
      <c r="B37" s="119" t="s">
        <v>1366</v>
      </c>
      <c r="C37" s="86" t="s">
        <v>3538</v>
      </c>
      <c r="D37" s="120">
        <v>46238</v>
      </c>
      <c r="E37" s="86"/>
      <c r="F37" s="85"/>
    </row>
    <row r="38" spans="1:6" x14ac:dyDescent="0.25">
      <c r="A38" s="85"/>
      <c r="B38" s="122" t="s">
        <v>3542</v>
      </c>
      <c r="C38" s="86" t="s">
        <v>3538</v>
      </c>
      <c r="D38" s="120">
        <v>46225</v>
      </c>
      <c r="E38" s="86"/>
      <c r="F38" s="85"/>
    </row>
    <row r="39" spans="1:6" x14ac:dyDescent="0.25">
      <c r="A39" s="85"/>
      <c r="B39" s="123" t="s">
        <v>1321</v>
      </c>
      <c r="C39" s="86" t="s">
        <v>3538</v>
      </c>
      <c r="D39" s="120">
        <v>46225</v>
      </c>
      <c r="E39" s="86"/>
      <c r="F39" s="85"/>
    </row>
    <row r="40" spans="1:6" x14ac:dyDescent="0.25">
      <c r="A40" s="85"/>
      <c r="B40" s="122" t="s">
        <v>1801</v>
      </c>
      <c r="C40" s="86" t="s">
        <v>3538</v>
      </c>
      <c r="D40" s="120">
        <v>46217</v>
      </c>
      <c r="E40" s="86"/>
      <c r="F40" s="85"/>
    </row>
    <row r="41" spans="1:6" ht="30" x14ac:dyDescent="0.25">
      <c r="A41" s="85"/>
      <c r="B41" s="119" t="s">
        <v>1227</v>
      </c>
      <c r="C41" s="86" t="s">
        <v>3538</v>
      </c>
      <c r="D41" s="120">
        <v>46217</v>
      </c>
      <c r="E41" s="86"/>
      <c r="F41" s="85"/>
    </row>
    <row r="42" spans="1:6" ht="30" x14ac:dyDescent="0.25">
      <c r="A42" s="85"/>
      <c r="B42" s="119" t="s">
        <v>1230</v>
      </c>
      <c r="C42" s="86" t="s">
        <v>3538</v>
      </c>
      <c r="D42" s="120">
        <v>46217</v>
      </c>
      <c r="E42" s="86"/>
      <c r="F42" s="85"/>
    </row>
    <row r="43" spans="1:6" x14ac:dyDescent="0.25">
      <c r="A43" s="85"/>
      <c r="B43" s="119" t="s">
        <v>1109</v>
      </c>
      <c r="C43" s="86" t="s">
        <v>3538</v>
      </c>
      <c r="D43" s="120">
        <v>46217</v>
      </c>
      <c r="E43" s="86"/>
      <c r="F43" s="85"/>
    </row>
    <row r="44" spans="1:6" x14ac:dyDescent="0.25">
      <c r="A44" s="85"/>
      <c r="B44" s="119" t="s">
        <v>1123</v>
      </c>
      <c r="C44" s="86" t="s">
        <v>3538</v>
      </c>
      <c r="D44" s="120">
        <v>46217</v>
      </c>
      <c r="E44" s="86"/>
      <c r="F44" s="85"/>
    </row>
    <row r="45" spans="1:6" x14ac:dyDescent="0.25">
      <c r="A45" s="85"/>
      <c r="B45" s="119" t="s">
        <v>1164</v>
      </c>
      <c r="C45" s="86" t="s">
        <v>3538</v>
      </c>
      <c r="D45" s="120">
        <v>46217</v>
      </c>
      <c r="E45" s="86"/>
      <c r="F45" s="85"/>
    </row>
    <row r="46" spans="1:6" x14ac:dyDescent="0.25">
      <c r="A46" s="85"/>
      <c r="B46" s="119" t="s">
        <v>1167</v>
      </c>
      <c r="C46" s="86" t="s">
        <v>3538</v>
      </c>
      <c r="D46" s="120">
        <v>46217</v>
      </c>
      <c r="E46" s="86"/>
      <c r="F46" s="85"/>
    </row>
    <row r="47" spans="1:6" x14ac:dyDescent="0.25">
      <c r="A47" s="85"/>
      <c r="B47" s="119" t="s">
        <v>1176</v>
      </c>
      <c r="C47" s="86" t="s">
        <v>3538</v>
      </c>
      <c r="D47" s="120">
        <v>46217</v>
      </c>
      <c r="E47" s="86"/>
      <c r="F47" s="85"/>
    </row>
    <row r="48" spans="1:6" x14ac:dyDescent="0.25">
      <c r="A48" s="85"/>
      <c r="B48" s="119" t="s">
        <v>1179</v>
      </c>
      <c r="C48" s="86" t="s">
        <v>3538</v>
      </c>
      <c r="D48" s="120">
        <v>46217</v>
      </c>
      <c r="E48" s="86"/>
      <c r="F48" s="85"/>
    </row>
    <row r="49" spans="1:6" x14ac:dyDescent="0.25">
      <c r="A49" s="85"/>
      <c r="B49" s="119" t="s">
        <v>1182</v>
      </c>
      <c r="C49" s="86" t="s">
        <v>3538</v>
      </c>
      <c r="D49" s="120">
        <v>46217</v>
      </c>
      <c r="E49" s="86"/>
      <c r="F49" s="85"/>
    </row>
    <row r="50" spans="1:6" x14ac:dyDescent="0.25">
      <c r="A50" s="85"/>
      <c r="B50" s="119" t="s">
        <v>1190</v>
      </c>
      <c r="C50" s="86" t="s">
        <v>3538</v>
      </c>
      <c r="D50" s="120">
        <v>46217</v>
      </c>
      <c r="E50" s="86"/>
      <c r="F50" s="85"/>
    </row>
    <row r="51" spans="1:6" ht="30" x14ac:dyDescent="0.25">
      <c r="A51" s="85"/>
      <c r="B51" s="124" t="s">
        <v>1236</v>
      </c>
      <c r="C51" s="125"/>
      <c r="D51" s="86"/>
      <c r="E51" s="86"/>
      <c r="F51" s="85"/>
    </row>
    <row r="52" spans="1:6" ht="30" x14ac:dyDescent="0.25">
      <c r="A52" s="85"/>
      <c r="B52" s="124" t="s">
        <v>1238</v>
      </c>
      <c r="C52" s="125"/>
      <c r="D52" s="86"/>
      <c r="E52" s="86"/>
      <c r="F52" s="85"/>
    </row>
    <row r="53" spans="1:6" x14ac:dyDescent="0.25">
      <c r="A53" s="85"/>
      <c r="B53" s="124" t="s">
        <v>1243</v>
      </c>
      <c r="C53" s="125" t="s">
        <v>3489</v>
      </c>
      <c r="D53" s="120">
        <v>46238</v>
      </c>
      <c r="E53" s="86"/>
      <c r="F53" s="85"/>
    </row>
    <row r="54" spans="1:6" x14ac:dyDescent="0.25">
      <c r="A54" s="85"/>
      <c r="B54" s="119" t="s">
        <v>1700</v>
      </c>
      <c r="C54" s="86" t="s">
        <v>3538</v>
      </c>
      <c r="D54" s="120">
        <v>46217</v>
      </c>
      <c r="E54" s="86"/>
      <c r="F54" s="85"/>
    </row>
    <row r="55" spans="1:6" x14ac:dyDescent="0.25">
      <c r="A55" s="85"/>
      <c r="B55" s="122" t="s">
        <v>3543</v>
      </c>
      <c r="C55" s="86" t="s">
        <v>3538</v>
      </c>
      <c r="D55" s="120">
        <v>46217</v>
      </c>
      <c r="E55" s="86"/>
      <c r="F55" s="85"/>
    </row>
    <row r="56" spans="1:6" x14ac:dyDescent="0.25">
      <c r="A56" s="85"/>
      <c r="B56" s="122" t="s">
        <v>3544</v>
      </c>
      <c r="C56" s="86" t="s">
        <v>3538</v>
      </c>
      <c r="D56" s="120">
        <v>46217</v>
      </c>
      <c r="E56" s="86"/>
      <c r="F56" s="85"/>
    </row>
    <row r="57" spans="1:6" x14ac:dyDescent="0.25">
      <c r="A57" s="85"/>
      <c r="B57" s="119" t="s">
        <v>1680</v>
      </c>
      <c r="C57" s="86" t="s">
        <v>3538</v>
      </c>
      <c r="D57" s="120">
        <v>46225</v>
      </c>
      <c r="E57" s="86"/>
      <c r="F57" s="85"/>
    </row>
    <row r="58" spans="1:6" x14ac:dyDescent="0.25">
      <c r="A58" s="85"/>
      <c r="B58" s="119" t="s">
        <v>1680</v>
      </c>
      <c r="C58" s="86" t="s">
        <v>3538</v>
      </c>
      <c r="D58" s="120">
        <v>46231</v>
      </c>
      <c r="E58" s="86"/>
      <c r="F58" s="85"/>
    </row>
    <row r="59" spans="1:6" x14ac:dyDescent="0.25">
      <c r="A59" s="85"/>
      <c r="B59" s="122" t="s">
        <v>3545</v>
      </c>
      <c r="C59" s="86" t="s">
        <v>3538</v>
      </c>
      <c r="D59" s="120">
        <v>46217</v>
      </c>
      <c r="E59" s="86"/>
      <c r="F59" s="85"/>
    </row>
    <row r="60" spans="1:6" x14ac:dyDescent="0.25">
      <c r="A60" s="85"/>
      <c r="B60" s="119" t="s">
        <v>1523</v>
      </c>
      <c r="C60" s="86" t="s">
        <v>3538</v>
      </c>
      <c r="D60" s="120">
        <v>46227</v>
      </c>
      <c r="E60" s="86"/>
      <c r="F60" s="85"/>
    </row>
    <row r="61" spans="1:6" x14ac:dyDescent="0.25">
      <c r="A61" s="85"/>
      <c r="B61" s="119" t="s">
        <v>1525</v>
      </c>
      <c r="C61" s="86" t="s">
        <v>3538</v>
      </c>
      <c r="D61" s="120">
        <v>46227</v>
      </c>
      <c r="E61" s="86"/>
      <c r="F61" s="85"/>
    </row>
    <row r="62" spans="1:6" x14ac:dyDescent="0.25">
      <c r="A62" s="85"/>
      <c r="B62" s="119" t="s">
        <v>1527</v>
      </c>
      <c r="C62" s="86" t="s">
        <v>3538</v>
      </c>
      <c r="D62" s="120">
        <v>46227</v>
      </c>
      <c r="E62" s="86"/>
      <c r="F62" s="85"/>
    </row>
    <row r="63" spans="1:6" x14ac:dyDescent="0.25">
      <c r="A63" s="85"/>
      <c r="B63" s="119" t="s">
        <v>1534</v>
      </c>
      <c r="C63" s="86" t="s">
        <v>3538</v>
      </c>
      <c r="D63" s="120">
        <v>46217</v>
      </c>
      <c r="E63" s="86"/>
      <c r="F63" s="85"/>
    </row>
    <row r="64" spans="1:6" x14ac:dyDescent="0.25">
      <c r="A64" s="85"/>
      <c r="B64" s="119" t="s">
        <v>1537</v>
      </c>
      <c r="C64" s="86" t="s">
        <v>3538</v>
      </c>
      <c r="D64" s="120">
        <v>46217</v>
      </c>
      <c r="E64" s="86"/>
      <c r="F64" s="85"/>
    </row>
    <row r="65" spans="1:6" x14ac:dyDescent="0.25">
      <c r="A65" s="85"/>
      <c r="B65" s="119" t="s">
        <v>1539</v>
      </c>
      <c r="C65" s="86" t="s">
        <v>3538</v>
      </c>
      <c r="D65" s="120">
        <v>46231</v>
      </c>
      <c r="E65" s="86"/>
      <c r="F65" s="85"/>
    </row>
    <row r="66" spans="1:6" x14ac:dyDescent="0.25">
      <c r="A66" s="85"/>
      <c r="B66" s="119" t="s">
        <v>1906</v>
      </c>
      <c r="C66" s="86" t="s">
        <v>3489</v>
      </c>
      <c r="D66" s="120">
        <v>46217</v>
      </c>
      <c r="E66" s="86"/>
      <c r="F66" s="85"/>
    </row>
    <row r="67" spans="1:6" x14ac:dyDescent="0.25">
      <c r="A67" s="85"/>
      <c r="B67" s="119" t="s">
        <v>1911</v>
      </c>
      <c r="C67" s="86" t="s">
        <v>3489</v>
      </c>
      <c r="D67" s="120">
        <v>46217</v>
      </c>
      <c r="E67" s="86"/>
      <c r="F67" s="85"/>
    </row>
    <row r="68" spans="1:6" x14ac:dyDescent="0.25">
      <c r="A68" s="85"/>
      <c r="B68" s="119" t="s">
        <v>1913</v>
      </c>
      <c r="C68" s="86" t="s">
        <v>3489</v>
      </c>
      <c r="D68" s="120">
        <v>46217</v>
      </c>
      <c r="E68" s="86"/>
      <c r="F68" s="85"/>
    </row>
    <row r="69" spans="1:6" x14ac:dyDescent="0.25">
      <c r="A69" s="85"/>
      <c r="B69" s="119" t="s">
        <v>1915</v>
      </c>
      <c r="C69" s="86" t="s">
        <v>3489</v>
      </c>
      <c r="D69" s="120">
        <v>46217</v>
      </c>
      <c r="E69" s="86"/>
      <c r="F69" s="85"/>
    </row>
    <row r="70" spans="1:6" x14ac:dyDescent="0.25">
      <c r="A70" s="85"/>
      <c r="B70" s="119" t="s">
        <v>1917</v>
      </c>
      <c r="C70" s="86" t="s">
        <v>3489</v>
      </c>
      <c r="D70" s="120">
        <v>46217</v>
      </c>
      <c r="E70" s="86"/>
      <c r="F70" s="85"/>
    </row>
    <row r="71" spans="1:6" x14ac:dyDescent="0.25">
      <c r="A71" s="85"/>
      <c r="B71" s="119" t="s">
        <v>1920</v>
      </c>
      <c r="C71" s="86" t="s">
        <v>3489</v>
      </c>
      <c r="D71" s="120">
        <v>46217</v>
      </c>
      <c r="E71" s="86"/>
      <c r="F71" s="85"/>
    </row>
    <row r="72" spans="1:6" x14ac:dyDescent="0.25">
      <c r="A72" s="85"/>
      <c r="B72" s="119" t="s">
        <v>1924</v>
      </c>
      <c r="C72" s="86" t="s">
        <v>3538</v>
      </c>
      <c r="D72" s="120">
        <v>46232</v>
      </c>
      <c r="E72" s="120">
        <v>46230</v>
      </c>
      <c r="F72" s="85"/>
    </row>
    <row r="73" spans="1:6" x14ac:dyDescent="0.25">
      <c r="A73" s="85"/>
      <c r="B73" s="119" t="s">
        <v>1927</v>
      </c>
      <c r="C73" s="86" t="s">
        <v>3538</v>
      </c>
      <c r="D73" s="120">
        <v>46232</v>
      </c>
      <c r="E73" s="120">
        <v>46230</v>
      </c>
      <c r="F73" s="85"/>
    </row>
    <row r="74" spans="1:6" x14ac:dyDescent="0.25">
      <c r="A74" s="85"/>
      <c r="B74" s="119" t="s">
        <v>1929</v>
      </c>
      <c r="C74" s="86" t="s">
        <v>3538</v>
      </c>
      <c r="D74" s="120">
        <v>46232</v>
      </c>
      <c r="E74" s="120">
        <v>46230</v>
      </c>
      <c r="F74" s="85"/>
    </row>
    <row r="75" spans="1:6" x14ac:dyDescent="0.25">
      <c r="A75" s="85"/>
      <c r="B75" s="119" t="s">
        <v>1931</v>
      </c>
      <c r="C75" s="86" t="s">
        <v>3538</v>
      </c>
      <c r="D75" s="120">
        <v>46232</v>
      </c>
      <c r="E75" s="120">
        <v>46230</v>
      </c>
      <c r="F75" s="85"/>
    </row>
    <row r="76" spans="1:6" x14ac:dyDescent="0.25">
      <c r="A76" s="85"/>
      <c r="B76" s="119" t="s">
        <v>1961</v>
      </c>
      <c r="C76" s="86" t="s">
        <v>3538</v>
      </c>
      <c r="D76" s="120">
        <v>46232</v>
      </c>
      <c r="E76" s="120">
        <v>46230</v>
      </c>
      <c r="F76" s="85"/>
    </row>
    <row r="77" spans="1:6" x14ac:dyDescent="0.25">
      <c r="A77" s="85"/>
      <c r="B77" s="119" t="s">
        <v>1963</v>
      </c>
      <c r="C77" s="86" t="s">
        <v>3538</v>
      </c>
      <c r="D77" s="120">
        <v>46232</v>
      </c>
      <c r="E77" s="120">
        <v>46230</v>
      </c>
      <c r="F77" s="85"/>
    </row>
    <row r="78" spans="1:6" x14ac:dyDescent="0.25">
      <c r="A78" s="85"/>
      <c r="B78" s="119" t="s">
        <v>1965</v>
      </c>
      <c r="C78" s="86" t="s">
        <v>3538</v>
      </c>
      <c r="D78" s="120">
        <v>46232</v>
      </c>
      <c r="E78" s="120">
        <v>46230</v>
      </c>
      <c r="F78" s="85"/>
    </row>
    <row r="79" spans="1:6" x14ac:dyDescent="0.25">
      <c r="A79" s="85"/>
      <c r="B79" s="122" t="s">
        <v>1969</v>
      </c>
      <c r="C79" s="86" t="s">
        <v>3489</v>
      </c>
      <c r="D79" s="120">
        <v>46232</v>
      </c>
      <c r="E79" s="86"/>
      <c r="F79" s="85"/>
    </row>
    <row r="80" spans="1:6" x14ac:dyDescent="0.25">
      <c r="A80" s="85"/>
      <c r="B80" s="122" t="s">
        <v>1971</v>
      </c>
      <c r="C80" s="86" t="s">
        <v>3489</v>
      </c>
      <c r="D80" s="120">
        <v>46232</v>
      </c>
      <c r="E80" s="86"/>
      <c r="F80" s="85"/>
    </row>
    <row r="81" spans="1:6" x14ac:dyDescent="0.25">
      <c r="A81" s="85"/>
      <c r="B81" s="122" t="s">
        <v>1974</v>
      </c>
      <c r="C81" s="86" t="s">
        <v>3489</v>
      </c>
      <c r="D81" s="120">
        <v>46232</v>
      </c>
      <c r="E81" s="86"/>
      <c r="F81" s="85"/>
    </row>
    <row r="82" spans="1:6" x14ac:dyDescent="0.25">
      <c r="A82" s="85"/>
      <c r="B82" s="122" t="s">
        <v>1976</v>
      </c>
      <c r="C82" s="86" t="s">
        <v>3489</v>
      </c>
      <c r="D82" s="120">
        <v>46232</v>
      </c>
      <c r="E82" s="86"/>
      <c r="F82" s="85"/>
    </row>
    <row r="83" spans="1:6" x14ac:dyDescent="0.25">
      <c r="A83" s="85"/>
      <c r="B83" s="122" t="s">
        <v>1978</v>
      </c>
      <c r="C83" s="86" t="s">
        <v>3489</v>
      </c>
      <c r="D83" s="120">
        <v>46232</v>
      </c>
      <c r="E83" s="86"/>
      <c r="F83" s="85"/>
    </row>
    <row r="84" spans="1:6" x14ac:dyDescent="0.25">
      <c r="A84" s="85"/>
      <c r="B84" s="119" t="s">
        <v>2300</v>
      </c>
      <c r="C84" s="86" t="s">
        <v>3538</v>
      </c>
      <c r="D84" s="120">
        <v>46217</v>
      </c>
      <c r="E84" s="86"/>
      <c r="F84" s="85"/>
    </row>
    <row r="85" spans="1:6" x14ac:dyDescent="0.25">
      <c r="A85" s="85"/>
      <c r="B85" s="119" t="s">
        <v>721</v>
      </c>
      <c r="C85" s="86" t="s">
        <v>3538</v>
      </c>
      <c r="D85" s="120">
        <v>46225</v>
      </c>
      <c r="E85" s="86"/>
      <c r="F85" s="85"/>
    </row>
    <row r="86" spans="1:6" x14ac:dyDescent="0.25">
      <c r="A86" s="85"/>
      <c r="B86" s="119" t="s">
        <v>727</v>
      </c>
      <c r="C86" s="86" t="s">
        <v>3538</v>
      </c>
      <c r="D86" s="120">
        <v>46227</v>
      </c>
      <c r="E86" s="86"/>
      <c r="F86" s="85"/>
    </row>
    <row r="87" spans="1:6" x14ac:dyDescent="0.25">
      <c r="A87" s="85"/>
      <c r="B87" s="119" t="s">
        <v>732</v>
      </c>
      <c r="C87" s="86" t="s">
        <v>3538</v>
      </c>
      <c r="D87" s="120">
        <v>46225</v>
      </c>
      <c r="E87" s="86"/>
      <c r="F87" s="85"/>
    </row>
    <row r="88" spans="1:6" x14ac:dyDescent="0.25">
      <c r="A88" s="85"/>
      <c r="B88" s="119" t="s">
        <v>759</v>
      </c>
      <c r="C88" s="86" t="s">
        <v>3538</v>
      </c>
      <c r="D88" s="120">
        <v>46227</v>
      </c>
      <c r="E88" s="86"/>
      <c r="F88" s="85"/>
    </row>
    <row r="89" spans="1:6" x14ac:dyDescent="0.25">
      <c r="A89" s="85"/>
      <c r="B89" s="122" t="s">
        <v>759</v>
      </c>
      <c r="C89" s="86" t="s">
        <v>3538</v>
      </c>
      <c r="D89" s="120">
        <v>46232</v>
      </c>
      <c r="E89" s="120">
        <v>46225</v>
      </c>
      <c r="F89" s="85"/>
    </row>
    <row r="90" spans="1:6" x14ac:dyDescent="0.25">
      <c r="A90" s="85"/>
      <c r="B90" s="119" t="s">
        <v>762</v>
      </c>
      <c r="C90" s="86" t="s">
        <v>3538</v>
      </c>
      <c r="D90" s="120">
        <v>46225</v>
      </c>
      <c r="E90" s="86"/>
      <c r="F90" s="85"/>
    </row>
    <row r="91" spans="1:6" x14ac:dyDescent="0.25">
      <c r="A91" s="85"/>
      <c r="B91" s="119" t="s">
        <v>762</v>
      </c>
      <c r="C91" s="86" t="s">
        <v>3538</v>
      </c>
      <c r="D91" s="120">
        <v>46227</v>
      </c>
      <c r="E91" s="86"/>
      <c r="F91" s="85"/>
    </row>
    <row r="92" spans="1:6" x14ac:dyDescent="0.25">
      <c r="A92" s="85"/>
      <c r="B92" s="122" t="s">
        <v>765</v>
      </c>
      <c r="C92" s="86" t="s">
        <v>3538</v>
      </c>
      <c r="D92" s="120">
        <v>46232</v>
      </c>
      <c r="E92" s="120">
        <v>46225</v>
      </c>
      <c r="F92" s="85"/>
    </row>
    <row r="93" spans="1:6" x14ac:dyDescent="0.25">
      <c r="A93" s="85"/>
      <c r="B93" s="119" t="s">
        <v>768</v>
      </c>
      <c r="C93" s="86" t="s">
        <v>3538</v>
      </c>
      <c r="D93" s="120">
        <v>46227</v>
      </c>
      <c r="E93" s="86"/>
      <c r="F93" s="85"/>
    </row>
    <row r="94" spans="1:6" x14ac:dyDescent="0.25">
      <c r="A94" s="85"/>
      <c r="B94" s="122" t="s">
        <v>768</v>
      </c>
      <c r="C94" s="86" t="s">
        <v>3538</v>
      </c>
      <c r="D94" s="120">
        <v>46232</v>
      </c>
      <c r="E94" s="120">
        <v>46225</v>
      </c>
      <c r="F94" s="85"/>
    </row>
    <row r="95" spans="1:6" x14ac:dyDescent="0.25">
      <c r="A95" s="85"/>
      <c r="B95" s="119" t="s">
        <v>793</v>
      </c>
      <c r="C95" s="86" t="s">
        <v>3538</v>
      </c>
      <c r="D95" s="120">
        <v>46225</v>
      </c>
      <c r="E95" s="86"/>
      <c r="F95" s="85"/>
    </row>
    <row r="96" spans="1:6" x14ac:dyDescent="0.25">
      <c r="A96" s="85"/>
      <c r="B96" s="119" t="s">
        <v>793</v>
      </c>
      <c r="C96" s="86" t="s">
        <v>3538</v>
      </c>
      <c r="D96" s="120">
        <v>46227</v>
      </c>
      <c r="E96" s="86"/>
      <c r="F96" s="85"/>
    </row>
    <row r="97" spans="1:6" x14ac:dyDescent="0.25">
      <c r="A97" s="85"/>
      <c r="B97" s="122" t="s">
        <v>793</v>
      </c>
      <c r="C97" s="86" t="s">
        <v>3538</v>
      </c>
      <c r="D97" s="120">
        <v>46232</v>
      </c>
      <c r="E97" s="120">
        <v>46225</v>
      </c>
      <c r="F97" s="85"/>
    </row>
    <row r="98" spans="1:6" x14ac:dyDescent="0.25">
      <c r="A98" s="85"/>
      <c r="B98" s="122" t="s">
        <v>796</v>
      </c>
      <c r="C98" s="86" t="s">
        <v>3538</v>
      </c>
      <c r="D98" s="120">
        <v>46232</v>
      </c>
      <c r="E98" s="120">
        <v>46225</v>
      </c>
      <c r="F98" s="85"/>
    </row>
    <row r="99" spans="1:6" x14ac:dyDescent="0.25">
      <c r="A99" s="85"/>
      <c r="B99" s="122" t="s">
        <v>798</v>
      </c>
      <c r="C99" s="86" t="s">
        <v>3538</v>
      </c>
      <c r="D99" s="120">
        <v>46232</v>
      </c>
      <c r="E99" s="120">
        <v>46225</v>
      </c>
      <c r="F99" s="85"/>
    </row>
    <row r="100" spans="1:6" x14ac:dyDescent="0.25">
      <c r="A100" s="85"/>
      <c r="B100" s="119" t="s">
        <v>802</v>
      </c>
      <c r="C100" s="86" t="s">
        <v>3538</v>
      </c>
      <c r="D100" s="120">
        <v>46225</v>
      </c>
      <c r="E100" s="86"/>
      <c r="F100" s="85"/>
    </row>
    <row r="101" spans="1:6" x14ac:dyDescent="0.25">
      <c r="A101" s="85"/>
      <c r="B101" s="119" t="s">
        <v>802</v>
      </c>
      <c r="C101" s="86" t="s">
        <v>3538</v>
      </c>
      <c r="D101" s="120">
        <v>46227</v>
      </c>
      <c r="E101" s="86"/>
      <c r="F101" s="85"/>
    </row>
    <row r="102" spans="1:6" x14ac:dyDescent="0.25">
      <c r="A102" s="85"/>
      <c r="B102" s="119" t="s">
        <v>809</v>
      </c>
      <c r="C102" s="86" t="s">
        <v>3538</v>
      </c>
      <c r="D102" s="120">
        <v>46217</v>
      </c>
      <c r="E102" s="86"/>
      <c r="F102" s="85"/>
    </row>
    <row r="103" spans="1:6" x14ac:dyDescent="0.25">
      <c r="A103" s="85"/>
      <c r="B103" s="119" t="s">
        <v>809</v>
      </c>
      <c r="C103" s="86" t="s">
        <v>3538</v>
      </c>
      <c r="D103" s="120">
        <v>46225</v>
      </c>
      <c r="E103" s="86"/>
      <c r="F103" s="85"/>
    </row>
    <row r="104" spans="1:6" x14ac:dyDescent="0.25">
      <c r="A104" s="85"/>
      <c r="B104" s="119" t="s">
        <v>809</v>
      </c>
      <c r="C104" s="86" t="s">
        <v>3538</v>
      </c>
      <c r="D104" s="120">
        <v>46227</v>
      </c>
      <c r="E104" s="86"/>
      <c r="F104" s="85"/>
    </row>
    <row r="105" spans="1:6" x14ac:dyDescent="0.25">
      <c r="A105" s="85"/>
      <c r="B105" s="119" t="s">
        <v>811</v>
      </c>
      <c r="C105" s="86" t="s">
        <v>3538</v>
      </c>
      <c r="D105" s="120">
        <v>46217</v>
      </c>
      <c r="E105" s="86"/>
      <c r="F105" s="85"/>
    </row>
    <row r="106" spans="1:6" x14ac:dyDescent="0.25">
      <c r="A106" s="85"/>
      <c r="B106" s="119" t="s">
        <v>811</v>
      </c>
      <c r="C106" s="86" t="s">
        <v>3538</v>
      </c>
      <c r="D106" s="120">
        <v>46225</v>
      </c>
      <c r="E106" s="86"/>
      <c r="F106" s="85"/>
    </row>
    <row r="107" spans="1:6" x14ac:dyDescent="0.25">
      <c r="A107" s="85"/>
      <c r="B107" s="119" t="s">
        <v>813</v>
      </c>
      <c r="C107" s="86" t="s">
        <v>3538</v>
      </c>
      <c r="D107" s="120">
        <v>46217</v>
      </c>
      <c r="E107" s="86"/>
      <c r="F107" s="85"/>
    </row>
    <row r="108" spans="1:6" x14ac:dyDescent="0.25">
      <c r="A108" s="85"/>
      <c r="B108" s="119" t="s">
        <v>813</v>
      </c>
      <c r="C108" s="86" t="s">
        <v>3538</v>
      </c>
      <c r="D108" s="120">
        <v>46225</v>
      </c>
      <c r="E108" s="86"/>
      <c r="F108" s="85"/>
    </row>
    <row r="109" spans="1:6" x14ac:dyDescent="0.25">
      <c r="A109" s="85"/>
      <c r="B109" s="119" t="s">
        <v>813</v>
      </c>
      <c r="C109" s="86" t="s">
        <v>3538</v>
      </c>
      <c r="D109" s="120">
        <v>46227</v>
      </c>
      <c r="E109" s="86"/>
      <c r="F109" s="85"/>
    </row>
    <row r="110" spans="1:6" x14ac:dyDescent="0.25">
      <c r="A110" s="85"/>
      <c r="B110" s="119" t="s">
        <v>816</v>
      </c>
      <c r="C110" s="86" t="s">
        <v>3538</v>
      </c>
      <c r="D110" s="120">
        <v>46217</v>
      </c>
      <c r="E110" s="86"/>
      <c r="F110" s="85"/>
    </row>
    <row r="111" spans="1:6" x14ac:dyDescent="0.25">
      <c r="A111" s="85"/>
      <c r="B111" s="119" t="s">
        <v>816</v>
      </c>
      <c r="C111" s="86" t="s">
        <v>3538</v>
      </c>
      <c r="D111" s="120">
        <v>46225</v>
      </c>
      <c r="E111" s="86"/>
      <c r="F111" s="85"/>
    </row>
    <row r="112" spans="1:6" x14ac:dyDescent="0.25">
      <c r="A112" s="85"/>
      <c r="B112" s="119" t="s">
        <v>816</v>
      </c>
      <c r="C112" s="86" t="s">
        <v>3538</v>
      </c>
      <c r="D112" s="120">
        <v>46227</v>
      </c>
      <c r="E112" s="86"/>
      <c r="F112" s="85"/>
    </row>
    <row r="113" spans="1:6" x14ac:dyDescent="0.25">
      <c r="A113" s="85"/>
      <c r="B113" s="119" t="s">
        <v>824</v>
      </c>
      <c r="C113" s="86" t="s">
        <v>3538</v>
      </c>
      <c r="D113" s="120">
        <v>46227</v>
      </c>
      <c r="E113" s="86"/>
      <c r="F113" s="85"/>
    </row>
    <row r="114" spans="1:6" x14ac:dyDescent="0.25">
      <c r="A114" s="85"/>
      <c r="B114" s="122" t="s">
        <v>616</v>
      </c>
      <c r="C114" s="86" t="s">
        <v>3538</v>
      </c>
      <c r="D114" s="120">
        <v>46232</v>
      </c>
      <c r="E114" s="86"/>
      <c r="F114" s="85"/>
    </row>
    <row r="115" spans="1:6" x14ac:dyDescent="0.25">
      <c r="A115" s="85"/>
      <c r="B115" s="119" t="s">
        <v>841</v>
      </c>
      <c r="C115" s="86" t="s">
        <v>3538</v>
      </c>
      <c r="D115" s="120">
        <v>46225</v>
      </c>
      <c r="E115" s="86"/>
      <c r="F115" s="85"/>
    </row>
    <row r="116" spans="1:6" x14ac:dyDescent="0.25">
      <c r="A116" s="85"/>
      <c r="B116" s="119" t="s">
        <v>841</v>
      </c>
      <c r="C116" s="86" t="s">
        <v>3538</v>
      </c>
      <c r="D116" s="120">
        <v>46227</v>
      </c>
      <c r="E116" s="86"/>
      <c r="F116" s="85"/>
    </row>
    <row r="117" spans="1:6" x14ac:dyDescent="0.25">
      <c r="A117" s="85"/>
      <c r="B117" s="122" t="s">
        <v>841</v>
      </c>
      <c r="C117" s="86" t="s">
        <v>3538</v>
      </c>
      <c r="D117" s="120">
        <v>46232</v>
      </c>
      <c r="E117" s="86"/>
      <c r="F117" s="85"/>
    </row>
    <row r="118" spans="1:6" x14ac:dyDescent="0.25">
      <c r="A118" s="85"/>
      <c r="B118" s="119" t="s">
        <v>844</v>
      </c>
      <c r="C118" s="86" t="s">
        <v>3538</v>
      </c>
      <c r="D118" s="120">
        <v>46225</v>
      </c>
      <c r="E118" s="86"/>
      <c r="F118" s="85"/>
    </row>
    <row r="119" spans="1:6" x14ac:dyDescent="0.25">
      <c r="A119" s="85"/>
      <c r="B119" s="122" t="s">
        <v>844</v>
      </c>
      <c r="C119" s="86" t="s">
        <v>3538</v>
      </c>
      <c r="D119" s="120">
        <v>46232</v>
      </c>
      <c r="E119" s="86"/>
      <c r="F119" s="85"/>
    </row>
    <row r="120" spans="1:6" x14ac:dyDescent="0.25">
      <c r="A120" s="85"/>
      <c r="B120" s="119" t="s">
        <v>847</v>
      </c>
      <c r="C120" s="86" t="s">
        <v>3538</v>
      </c>
      <c r="D120" s="120">
        <v>46225</v>
      </c>
      <c r="E120" s="86"/>
      <c r="F120" s="85"/>
    </row>
    <row r="121" spans="1:6" x14ac:dyDescent="0.25">
      <c r="A121" s="85"/>
      <c r="B121" s="122" t="s">
        <v>847</v>
      </c>
      <c r="C121" s="86" t="s">
        <v>3538</v>
      </c>
      <c r="D121" s="120">
        <v>46232</v>
      </c>
      <c r="E121" s="86"/>
      <c r="F121" s="85"/>
    </row>
    <row r="122" spans="1:6" x14ac:dyDescent="0.25">
      <c r="A122" s="85"/>
      <c r="B122" s="119" t="s">
        <v>850</v>
      </c>
      <c r="C122" s="86" t="s">
        <v>3538</v>
      </c>
      <c r="D122" s="120">
        <v>46225</v>
      </c>
      <c r="E122" s="86"/>
      <c r="F122" s="85"/>
    </row>
    <row r="123" spans="1:6" x14ac:dyDescent="0.25">
      <c r="A123" s="85"/>
      <c r="B123" s="122" t="s">
        <v>850</v>
      </c>
      <c r="C123" s="86" t="s">
        <v>3538</v>
      </c>
      <c r="D123" s="120">
        <v>46232</v>
      </c>
      <c r="E123" s="86"/>
      <c r="F123" s="85"/>
    </row>
    <row r="124" spans="1:6" x14ac:dyDescent="0.25">
      <c r="A124" s="85"/>
      <c r="B124" s="119" t="s">
        <v>853</v>
      </c>
      <c r="C124" s="86" t="s">
        <v>3538</v>
      </c>
      <c r="D124" s="120">
        <v>46225</v>
      </c>
      <c r="E124" s="86"/>
      <c r="F124" s="85"/>
    </row>
    <row r="125" spans="1:6" x14ac:dyDescent="0.25">
      <c r="A125" s="85"/>
      <c r="B125" s="122" t="s">
        <v>853</v>
      </c>
      <c r="C125" s="86" t="s">
        <v>3538</v>
      </c>
      <c r="D125" s="120">
        <v>46232</v>
      </c>
      <c r="E125" s="86"/>
      <c r="F125" s="85"/>
    </row>
    <row r="126" spans="1:6" x14ac:dyDescent="0.25">
      <c r="A126" s="85"/>
      <c r="B126" s="119" t="s">
        <v>857</v>
      </c>
      <c r="C126" s="86" t="s">
        <v>3538</v>
      </c>
      <c r="D126" s="120">
        <v>46225</v>
      </c>
      <c r="E126" s="86"/>
      <c r="F126" s="85"/>
    </row>
    <row r="127" spans="1:6" x14ac:dyDescent="0.25">
      <c r="A127" s="85"/>
      <c r="B127" s="122" t="s">
        <v>857</v>
      </c>
      <c r="C127" s="86" t="s">
        <v>3538</v>
      </c>
      <c r="D127" s="120">
        <v>46232</v>
      </c>
      <c r="E127" s="86"/>
      <c r="F127" s="85"/>
    </row>
    <row r="128" spans="1:6" x14ac:dyDescent="0.25">
      <c r="A128" s="85"/>
      <c r="B128" s="119" t="s">
        <v>860</v>
      </c>
      <c r="C128" s="86" t="s">
        <v>3538</v>
      </c>
      <c r="D128" s="120">
        <v>46225</v>
      </c>
      <c r="E128" s="86"/>
      <c r="F128" s="85"/>
    </row>
    <row r="129" spans="1:6" x14ac:dyDescent="0.25">
      <c r="A129" s="85"/>
      <c r="B129" s="122" t="s">
        <v>860</v>
      </c>
      <c r="C129" s="86" t="s">
        <v>3538</v>
      </c>
      <c r="D129" s="120">
        <v>46232</v>
      </c>
      <c r="E129" s="86"/>
      <c r="F129" s="85"/>
    </row>
    <row r="130" spans="1:6" x14ac:dyDescent="0.25">
      <c r="A130" s="85"/>
      <c r="B130" s="119" t="s">
        <v>877</v>
      </c>
      <c r="C130" s="86" t="s">
        <v>3538</v>
      </c>
      <c r="D130" s="120">
        <v>46225</v>
      </c>
      <c r="E130" s="86"/>
      <c r="F130" s="85"/>
    </row>
    <row r="131" spans="1:6" x14ac:dyDescent="0.25">
      <c r="A131" s="85"/>
      <c r="B131" s="122" t="s">
        <v>877</v>
      </c>
      <c r="C131" s="86" t="s">
        <v>3538</v>
      </c>
      <c r="D131" s="120">
        <v>46232</v>
      </c>
      <c r="E131" s="86"/>
      <c r="F131" s="85"/>
    </row>
    <row r="132" spans="1:6" x14ac:dyDescent="0.25">
      <c r="A132" s="85"/>
      <c r="B132" s="119" t="s">
        <v>880</v>
      </c>
      <c r="C132" s="86" t="s">
        <v>3538</v>
      </c>
      <c r="D132" s="120">
        <v>46225</v>
      </c>
      <c r="E132" s="86"/>
      <c r="F132" s="85"/>
    </row>
    <row r="133" spans="1:6" x14ac:dyDescent="0.25">
      <c r="A133" s="85"/>
      <c r="B133" s="122" t="s">
        <v>880</v>
      </c>
      <c r="C133" s="86" t="s">
        <v>3538</v>
      </c>
      <c r="D133" s="120">
        <v>46232</v>
      </c>
      <c r="E133" s="86"/>
      <c r="F133" s="85"/>
    </row>
    <row r="134" spans="1:6" x14ac:dyDescent="0.25">
      <c r="A134" s="85"/>
      <c r="B134" s="119" t="s">
        <v>880</v>
      </c>
      <c r="C134" s="86" t="s">
        <v>3538</v>
      </c>
      <c r="D134" s="120">
        <v>46238</v>
      </c>
      <c r="E134" s="86"/>
      <c r="F134" s="85"/>
    </row>
    <row r="135" spans="1:6" x14ac:dyDescent="0.25">
      <c r="A135" s="85"/>
      <c r="B135" s="119" t="s">
        <v>898</v>
      </c>
      <c r="C135" s="122" t="s">
        <v>3489</v>
      </c>
      <c r="D135" s="120">
        <v>46238</v>
      </c>
      <c r="E135" s="86"/>
      <c r="F135" s="85"/>
    </row>
    <row r="136" spans="1:6" x14ac:dyDescent="0.25">
      <c r="A136" s="85"/>
      <c r="B136" s="119" t="s">
        <v>901</v>
      </c>
      <c r="C136" s="122" t="s">
        <v>3489</v>
      </c>
      <c r="D136" s="120">
        <v>46238</v>
      </c>
      <c r="E136" s="86"/>
      <c r="F136" s="85"/>
    </row>
    <row r="137" spans="1:6" x14ac:dyDescent="0.25">
      <c r="A137" s="85"/>
      <c r="B137" s="119" t="s">
        <v>903</v>
      </c>
      <c r="C137" s="122" t="s">
        <v>3489</v>
      </c>
      <c r="D137" s="120">
        <v>46238</v>
      </c>
      <c r="E137" s="86"/>
      <c r="F137" s="85"/>
    </row>
    <row r="138" spans="1:6" x14ac:dyDescent="0.25">
      <c r="A138" s="85"/>
      <c r="B138" s="119" t="s">
        <v>905</v>
      </c>
      <c r="C138" s="122" t="s">
        <v>3489</v>
      </c>
      <c r="D138" s="120">
        <v>46238</v>
      </c>
      <c r="E138" s="86"/>
      <c r="F138" s="85"/>
    </row>
    <row r="139" spans="1:6" x14ac:dyDescent="0.25">
      <c r="A139" s="85"/>
      <c r="B139" s="119" t="s">
        <v>907</v>
      </c>
      <c r="C139" s="122" t="s">
        <v>3489</v>
      </c>
      <c r="D139" s="120">
        <v>46238</v>
      </c>
      <c r="E139" s="86"/>
      <c r="F139" s="85"/>
    </row>
    <row r="140" spans="1:6" x14ac:dyDescent="0.25">
      <c r="A140" s="85"/>
      <c r="B140" s="119" t="s">
        <v>909</v>
      </c>
      <c r="C140" s="122" t="s">
        <v>3489</v>
      </c>
      <c r="D140" s="120">
        <v>46238</v>
      </c>
      <c r="E140" s="86"/>
      <c r="F140" s="85"/>
    </row>
    <row r="141" spans="1:6" x14ac:dyDescent="0.25">
      <c r="A141" s="85"/>
      <c r="B141" s="119" t="s">
        <v>938</v>
      </c>
      <c r="C141" s="86" t="s">
        <v>3538</v>
      </c>
      <c r="D141" s="120">
        <v>46238</v>
      </c>
      <c r="E141" s="86"/>
      <c r="F141" s="85"/>
    </row>
    <row r="142" spans="1:6" x14ac:dyDescent="0.25">
      <c r="A142" s="85"/>
      <c r="B142" s="119" t="s">
        <v>941</v>
      </c>
      <c r="C142" s="86" t="s">
        <v>3538</v>
      </c>
      <c r="D142" s="120">
        <v>46238</v>
      </c>
      <c r="E142" s="86"/>
      <c r="F142" s="85"/>
    </row>
    <row r="143" spans="1:6" x14ac:dyDescent="0.25">
      <c r="A143" s="85"/>
      <c r="B143" s="122" t="s">
        <v>627</v>
      </c>
      <c r="C143" s="86" t="s">
        <v>3538</v>
      </c>
      <c r="D143" s="120">
        <v>46232</v>
      </c>
      <c r="E143" s="86"/>
      <c r="F143" s="85"/>
    </row>
    <row r="144" spans="1:6" x14ac:dyDescent="0.25">
      <c r="A144" s="85"/>
      <c r="B144" s="122" t="s">
        <v>630</v>
      </c>
      <c r="C144" s="86" t="s">
        <v>3538</v>
      </c>
      <c r="D144" s="120">
        <v>46232</v>
      </c>
      <c r="E144" s="86"/>
      <c r="F144" s="85"/>
    </row>
    <row r="145" spans="1:6" x14ac:dyDescent="0.25">
      <c r="A145" s="85"/>
      <c r="B145" s="122" t="s">
        <v>635</v>
      </c>
      <c r="C145" s="86" t="s">
        <v>3538</v>
      </c>
      <c r="D145" s="120">
        <v>46232</v>
      </c>
      <c r="E145" s="86"/>
      <c r="F145" s="85"/>
    </row>
    <row r="146" spans="1:6" x14ac:dyDescent="0.25">
      <c r="A146" s="85"/>
      <c r="B146" s="119" t="s">
        <v>646</v>
      </c>
      <c r="C146" s="86" t="s">
        <v>3538</v>
      </c>
      <c r="D146" s="120">
        <v>46225</v>
      </c>
      <c r="E146" s="86"/>
      <c r="F146" s="85"/>
    </row>
    <row r="147" spans="1:6" x14ac:dyDescent="0.25">
      <c r="A147" s="85"/>
      <c r="B147" s="122" t="s">
        <v>646</v>
      </c>
      <c r="C147" s="86" t="s">
        <v>3538</v>
      </c>
      <c r="D147" s="120">
        <v>46232</v>
      </c>
      <c r="E147" s="86"/>
      <c r="F147" s="85"/>
    </row>
    <row r="148" spans="1:6" x14ac:dyDescent="0.25">
      <c r="A148" s="85"/>
      <c r="B148" s="122" t="s">
        <v>649</v>
      </c>
      <c r="C148" s="86" t="s">
        <v>3538</v>
      </c>
      <c r="D148" s="120">
        <v>46232</v>
      </c>
      <c r="E148" s="86"/>
      <c r="F148" s="85"/>
    </row>
    <row r="149" spans="1:6" x14ac:dyDescent="0.25">
      <c r="A149" s="85"/>
      <c r="B149" s="119" t="s">
        <v>948</v>
      </c>
      <c r="C149" s="86" t="s">
        <v>3538</v>
      </c>
      <c r="D149" s="120">
        <v>46238</v>
      </c>
      <c r="E149" s="86"/>
      <c r="F149" s="85"/>
    </row>
    <row r="150" spans="1:6" x14ac:dyDescent="0.25">
      <c r="A150" s="85"/>
      <c r="B150" s="119" t="s">
        <v>952</v>
      </c>
      <c r="C150" s="86" t="s">
        <v>3538</v>
      </c>
      <c r="D150" s="120">
        <v>46238</v>
      </c>
      <c r="E150" s="86"/>
      <c r="F150" s="85"/>
    </row>
    <row r="151" spans="1:6" x14ac:dyDescent="0.25">
      <c r="A151" s="85"/>
      <c r="B151" s="119" t="s">
        <v>957</v>
      </c>
      <c r="C151" s="86" t="s">
        <v>3538</v>
      </c>
      <c r="D151" s="120">
        <v>46238</v>
      </c>
      <c r="E151" s="86"/>
      <c r="F151" s="85"/>
    </row>
    <row r="152" spans="1:6" x14ac:dyDescent="0.25">
      <c r="A152" s="85"/>
      <c r="B152" s="119" t="s">
        <v>960</v>
      </c>
      <c r="C152" s="86" t="s">
        <v>3538</v>
      </c>
      <c r="D152" s="120">
        <v>46238</v>
      </c>
      <c r="E152" s="86"/>
      <c r="F152" s="85"/>
    </row>
    <row r="153" spans="1:6" x14ac:dyDescent="0.25">
      <c r="A153" s="85"/>
      <c r="B153" s="119" t="s">
        <v>973</v>
      </c>
      <c r="C153" s="86" t="s">
        <v>3538</v>
      </c>
      <c r="D153" s="120">
        <v>46238</v>
      </c>
      <c r="E153" s="86"/>
      <c r="F153" s="85"/>
    </row>
    <row r="154" spans="1:6" x14ac:dyDescent="0.25">
      <c r="A154" s="85"/>
      <c r="B154" s="119" t="s">
        <v>981</v>
      </c>
      <c r="C154" s="86" t="s">
        <v>3538</v>
      </c>
      <c r="D154" s="120">
        <v>46238</v>
      </c>
      <c r="E154" s="86"/>
      <c r="F154" s="85"/>
    </row>
    <row r="155" spans="1:6" x14ac:dyDescent="0.25">
      <c r="A155" s="85"/>
      <c r="B155" s="119" t="s">
        <v>986</v>
      </c>
      <c r="C155" s="86" t="s">
        <v>3538</v>
      </c>
      <c r="D155" s="120">
        <v>46238</v>
      </c>
      <c r="E155" s="86"/>
      <c r="F155" s="85"/>
    </row>
    <row r="156" spans="1:6" x14ac:dyDescent="0.25">
      <c r="A156" s="85"/>
      <c r="B156" s="119" t="s">
        <v>1007</v>
      </c>
      <c r="C156" s="86" t="s">
        <v>3538</v>
      </c>
      <c r="D156" s="120">
        <v>46238</v>
      </c>
      <c r="E156" s="86"/>
      <c r="F156" s="85"/>
    </row>
    <row r="157" spans="1:6" x14ac:dyDescent="0.25">
      <c r="A157" s="85"/>
      <c r="B157" s="119" t="s">
        <v>1034</v>
      </c>
      <c r="C157" s="86" t="s">
        <v>3538</v>
      </c>
      <c r="D157" s="120">
        <v>46238</v>
      </c>
      <c r="E157" s="86"/>
      <c r="F157" s="85"/>
    </row>
    <row r="158" spans="1:6" x14ac:dyDescent="0.25">
      <c r="A158" s="85"/>
      <c r="B158" s="119" t="s">
        <v>1040</v>
      </c>
      <c r="C158" s="86" t="s">
        <v>3538</v>
      </c>
      <c r="D158" s="120">
        <v>46238</v>
      </c>
      <c r="E158" s="86"/>
      <c r="F158" s="85"/>
    </row>
    <row r="159" spans="1:6" x14ac:dyDescent="0.25">
      <c r="A159" s="85"/>
      <c r="B159" s="119" t="s">
        <v>1044</v>
      </c>
      <c r="C159" s="86" t="s">
        <v>3538</v>
      </c>
      <c r="D159" s="120">
        <v>46238</v>
      </c>
      <c r="E159" s="86"/>
      <c r="F159" s="85"/>
    </row>
    <row r="160" spans="1:6" x14ac:dyDescent="0.25">
      <c r="A160" s="85"/>
      <c r="B160" s="119" t="s">
        <v>1052</v>
      </c>
      <c r="C160" s="86" t="s">
        <v>3538</v>
      </c>
      <c r="D160" s="120">
        <v>46238</v>
      </c>
      <c r="E160" s="86"/>
      <c r="F160" s="85"/>
    </row>
    <row r="161" spans="1:6" x14ac:dyDescent="0.25">
      <c r="A161" s="85"/>
      <c r="B161" s="119" t="s">
        <v>1057</v>
      </c>
      <c r="C161" s="86" t="s">
        <v>3538</v>
      </c>
      <c r="D161" s="120">
        <v>46238</v>
      </c>
      <c r="E161" s="86"/>
      <c r="F161" s="85"/>
    </row>
    <row r="162" spans="1:6" x14ac:dyDescent="0.25">
      <c r="A162" s="85"/>
      <c r="B162" s="119" t="s">
        <v>1082</v>
      </c>
      <c r="C162" s="86" t="s">
        <v>3538</v>
      </c>
      <c r="D162" s="120">
        <v>46238</v>
      </c>
      <c r="E162" s="86"/>
      <c r="F162" s="85"/>
    </row>
    <row r="163" spans="1:6" x14ac:dyDescent="0.25">
      <c r="A163" s="85"/>
      <c r="B163" s="119" t="s">
        <v>682</v>
      </c>
      <c r="C163" s="86" t="s">
        <v>3538</v>
      </c>
      <c r="D163" s="120">
        <v>46225</v>
      </c>
      <c r="E163" s="86"/>
      <c r="F163" s="85"/>
    </row>
    <row r="164" spans="1:6" x14ac:dyDescent="0.25">
      <c r="A164" s="85"/>
      <c r="B164" s="122" t="s">
        <v>682</v>
      </c>
      <c r="C164" s="86" t="s">
        <v>3538</v>
      </c>
      <c r="D164" s="120">
        <v>46232</v>
      </c>
      <c r="E164" s="86"/>
      <c r="F164" s="85"/>
    </row>
    <row r="165" spans="1:6" x14ac:dyDescent="0.25">
      <c r="A165" s="85"/>
      <c r="B165" s="119" t="s">
        <v>693</v>
      </c>
      <c r="C165" s="86" t="s">
        <v>3538</v>
      </c>
      <c r="D165" s="120">
        <v>46225</v>
      </c>
      <c r="E165" s="86"/>
      <c r="F165" s="85"/>
    </row>
    <row r="166" spans="1:6" x14ac:dyDescent="0.25">
      <c r="A166" s="85"/>
      <c r="B166" s="122" t="s">
        <v>693</v>
      </c>
      <c r="C166" s="86" t="s">
        <v>3538</v>
      </c>
      <c r="D166" s="120">
        <v>46232</v>
      </c>
      <c r="E166" s="86"/>
      <c r="F166" s="85"/>
    </row>
    <row r="167" spans="1:6" x14ac:dyDescent="0.25">
      <c r="A167" s="85"/>
      <c r="B167" s="119" t="s">
        <v>696</v>
      </c>
      <c r="C167" s="86" t="s">
        <v>3538</v>
      </c>
      <c r="D167" s="120">
        <v>46225</v>
      </c>
      <c r="E167" s="86"/>
      <c r="F167" s="85"/>
    </row>
    <row r="168" spans="1:6" x14ac:dyDescent="0.25">
      <c r="A168" s="85"/>
      <c r="B168" s="119" t="s">
        <v>698</v>
      </c>
      <c r="C168" s="86" t="s">
        <v>3538</v>
      </c>
      <c r="D168" s="120">
        <v>46225</v>
      </c>
      <c r="E168" s="86"/>
      <c r="F168" s="85"/>
    </row>
    <row r="169" spans="1:6" x14ac:dyDescent="0.25">
      <c r="A169" s="85"/>
      <c r="B169" s="119" t="s">
        <v>700</v>
      </c>
      <c r="C169" s="86" t="s">
        <v>3538</v>
      </c>
      <c r="D169" s="120">
        <v>46225</v>
      </c>
      <c r="E169" s="86"/>
      <c r="F169" s="85"/>
    </row>
    <row r="170" spans="1:6" x14ac:dyDescent="0.25">
      <c r="A170" s="85"/>
      <c r="B170" s="119" t="s">
        <v>703</v>
      </c>
      <c r="C170" s="86" t="s">
        <v>3538</v>
      </c>
      <c r="D170" s="120">
        <v>46225</v>
      </c>
      <c r="E170" s="86"/>
      <c r="F170" s="85"/>
    </row>
    <row r="171" spans="1:6" x14ac:dyDescent="0.25">
      <c r="A171" s="85"/>
      <c r="B171" s="119" t="s">
        <v>704</v>
      </c>
      <c r="C171" s="86" t="s">
        <v>3538</v>
      </c>
      <c r="D171" s="120">
        <v>46225</v>
      </c>
      <c r="E171" s="86"/>
      <c r="F171" s="85"/>
    </row>
    <row r="172" spans="1:6" x14ac:dyDescent="0.25">
      <c r="A172" s="85"/>
      <c r="B172" s="119" t="s">
        <v>709</v>
      </c>
      <c r="C172" s="86" t="s">
        <v>3538</v>
      </c>
      <c r="D172" s="120">
        <v>46225</v>
      </c>
      <c r="E172" s="86"/>
      <c r="F172" s="85"/>
    </row>
    <row r="173" spans="1:6" x14ac:dyDescent="0.25">
      <c r="A173" s="85"/>
      <c r="B173" s="122" t="s">
        <v>709</v>
      </c>
      <c r="C173" s="86" t="s">
        <v>3538</v>
      </c>
      <c r="D173" s="120">
        <v>46232</v>
      </c>
      <c r="E173" s="120">
        <v>46225</v>
      </c>
      <c r="F173" s="85"/>
    </row>
    <row r="174" spans="1:6" x14ac:dyDescent="0.25">
      <c r="A174" s="85"/>
      <c r="B174" s="119" t="s">
        <v>711</v>
      </c>
      <c r="C174" s="86" t="s">
        <v>3538</v>
      </c>
      <c r="D174" s="120">
        <v>46225</v>
      </c>
      <c r="E174" s="86"/>
      <c r="F174" s="85"/>
    </row>
    <row r="175" spans="1:6" x14ac:dyDescent="0.25">
      <c r="A175" s="85"/>
      <c r="B175" s="122" t="s">
        <v>711</v>
      </c>
      <c r="C175" s="86" t="s">
        <v>3538</v>
      </c>
      <c r="D175" s="120">
        <v>46232</v>
      </c>
      <c r="E175" s="120">
        <v>46225</v>
      </c>
      <c r="F175" s="85"/>
    </row>
    <row r="176" spans="1:6" x14ac:dyDescent="0.25">
      <c r="A176" s="85"/>
      <c r="B176" s="119" t="s">
        <v>713</v>
      </c>
      <c r="C176" s="86" t="s">
        <v>3538</v>
      </c>
      <c r="D176" s="120">
        <v>46225</v>
      </c>
      <c r="E176" s="86"/>
      <c r="F176" s="85"/>
    </row>
    <row r="177" spans="1:6" x14ac:dyDescent="0.25">
      <c r="A177" s="85"/>
      <c r="B177" s="122" t="s">
        <v>713</v>
      </c>
      <c r="C177" s="86" t="s">
        <v>3538</v>
      </c>
      <c r="D177" s="120">
        <v>46232</v>
      </c>
      <c r="E177" s="120">
        <v>46225</v>
      </c>
      <c r="F177" s="85"/>
    </row>
    <row r="178" spans="1:6" x14ac:dyDescent="0.25">
      <c r="A178" s="85"/>
      <c r="B178" s="119" t="s">
        <v>715</v>
      </c>
      <c r="C178" s="86" t="s">
        <v>3538</v>
      </c>
      <c r="D178" s="120">
        <v>46225</v>
      </c>
      <c r="E178" s="86"/>
      <c r="F178" s="85"/>
    </row>
    <row r="179" spans="1:6" x14ac:dyDescent="0.25">
      <c r="A179" s="85"/>
      <c r="B179" s="122" t="s">
        <v>715</v>
      </c>
      <c r="C179" s="86" t="s">
        <v>3538</v>
      </c>
      <c r="D179" s="120">
        <v>46232</v>
      </c>
      <c r="E179" s="120">
        <v>46225</v>
      </c>
      <c r="F179" s="85"/>
    </row>
    <row r="180" spans="1:6" x14ac:dyDescent="0.25">
      <c r="A180" s="85"/>
      <c r="B180" s="119" t="s">
        <v>717</v>
      </c>
      <c r="C180" s="86" t="s">
        <v>3538</v>
      </c>
      <c r="D180" s="120">
        <v>46225</v>
      </c>
      <c r="E180" s="86"/>
      <c r="F180" s="85"/>
    </row>
    <row r="181" spans="1:6" x14ac:dyDescent="0.25">
      <c r="A181" s="85"/>
      <c r="B181" s="122" t="s">
        <v>717</v>
      </c>
      <c r="C181" s="86" t="s">
        <v>3538</v>
      </c>
      <c r="D181" s="120">
        <v>46232</v>
      </c>
      <c r="E181" s="120">
        <v>46225</v>
      </c>
      <c r="F181" s="85"/>
    </row>
    <row r="182" spans="1:6" x14ac:dyDescent="0.25">
      <c r="A182" s="85"/>
      <c r="B182" s="119" t="s">
        <v>34</v>
      </c>
      <c r="C182" s="86" t="s">
        <v>3538</v>
      </c>
      <c r="D182" s="120">
        <v>46238</v>
      </c>
      <c r="E182" s="86"/>
      <c r="F182" s="85"/>
    </row>
    <row r="183" spans="1:6" x14ac:dyDescent="0.25">
      <c r="A183" s="85"/>
      <c r="B183" s="119" t="s">
        <v>172</v>
      </c>
      <c r="C183" s="86" t="s">
        <v>3538</v>
      </c>
      <c r="D183" s="120">
        <v>46231</v>
      </c>
      <c r="E183" s="86"/>
      <c r="F183" s="85"/>
    </row>
    <row r="184" spans="1:6" x14ac:dyDescent="0.25">
      <c r="A184" s="85"/>
      <c r="B184" s="119" t="s">
        <v>184</v>
      </c>
      <c r="C184" s="86" t="s">
        <v>3538</v>
      </c>
      <c r="D184" s="120">
        <v>46231</v>
      </c>
      <c r="E184" s="86"/>
      <c r="F184" s="85"/>
    </row>
    <row r="185" spans="1:6" x14ac:dyDescent="0.25">
      <c r="A185" s="85"/>
      <c r="B185" s="119" t="s">
        <v>234</v>
      </c>
      <c r="C185" s="86" t="s">
        <v>3538</v>
      </c>
      <c r="D185" s="120">
        <v>46231</v>
      </c>
      <c r="E185" s="86"/>
      <c r="F185" s="85"/>
    </row>
    <row r="186" spans="1:6" x14ac:dyDescent="0.25">
      <c r="A186" s="85"/>
      <c r="B186" s="119" t="s">
        <v>238</v>
      </c>
      <c r="C186" s="86" t="s">
        <v>3538</v>
      </c>
      <c r="D186" s="120">
        <v>46231</v>
      </c>
      <c r="E186" s="86"/>
      <c r="F186" s="85"/>
    </row>
    <row r="187" spans="1:6" x14ac:dyDescent="0.25">
      <c r="A187" s="85" t="s">
        <v>3546</v>
      </c>
      <c r="B187" s="119" t="s">
        <v>442</v>
      </c>
      <c r="C187" s="86" t="s">
        <v>3538</v>
      </c>
      <c r="D187" s="120">
        <v>46238</v>
      </c>
      <c r="E187" s="86"/>
      <c r="F187" s="85"/>
    </row>
    <row r="188" spans="1:6" x14ac:dyDescent="0.25">
      <c r="A188" s="85"/>
      <c r="B188" s="119" t="s">
        <v>449</v>
      </c>
      <c r="C188" s="86" t="s">
        <v>3538</v>
      </c>
      <c r="D188" s="120">
        <v>46231</v>
      </c>
      <c r="E188" s="86"/>
      <c r="F188" s="85"/>
    </row>
    <row r="189" spans="1:6" x14ac:dyDescent="0.25">
      <c r="A189" s="85"/>
      <c r="B189" s="119" t="s">
        <v>449</v>
      </c>
      <c r="C189" s="86" t="s">
        <v>3538</v>
      </c>
      <c r="D189" s="120">
        <v>46238</v>
      </c>
      <c r="E189" s="86"/>
      <c r="F189" s="85"/>
    </row>
    <row r="190" spans="1:6" x14ac:dyDescent="0.25">
      <c r="A190" s="85"/>
      <c r="B190" s="119" t="s">
        <v>560</v>
      </c>
      <c r="C190" s="86" t="s">
        <v>3538</v>
      </c>
      <c r="D190" s="120">
        <v>46231</v>
      </c>
      <c r="E190" s="86"/>
      <c r="F190" s="85"/>
    </row>
    <row r="191" spans="1:6" x14ac:dyDescent="0.25">
      <c r="A191" s="85"/>
      <c r="B191" s="119" t="s">
        <v>577</v>
      </c>
      <c r="C191" s="86" t="s">
        <v>3538</v>
      </c>
      <c r="D191" s="120">
        <v>46238</v>
      </c>
      <c r="E191" s="86"/>
      <c r="F191" s="85"/>
    </row>
    <row r="192" spans="1:6" x14ac:dyDescent="0.25">
      <c r="A192" s="85"/>
      <c r="B192" s="119" t="s">
        <v>580</v>
      </c>
      <c r="C192" s="86" t="s">
        <v>3538</v>
      </c>
      <c r="D192" s="120">
        <v>46238</v>
      </c>
      <c r="E192" s="86"/>
      <c r="F192" s="85"/>
    </row>
    <row r="193" spans="1:6" x14ac:dyDescent="0.25">
      <c r="A193" s="85"/>
      <c r="B193" s="119" t="s">
        <v>582</v>
      </c>
      <c r="C193" s="86" t="s">
        <v>3538</v>
      </c>
      <c r="D193" s="120">
        <v>46238</v>
      </c>
      <c r="E193" s="86"/>
      <c r="F193" s="85"/>
    </row>
    <row r="194" spans="1:6" x14ac:dyDescent="0.25">
      <c r="A194" s="85"/>
      <c r="B194" s="119" t="s">
        <v>584</v>
      </c>
      <c r="C194" s="86" t="s">
        <v>3538</v>
      </c>
      <c r="D194" s="120">
        <v>46238</v>
      </c>
      <c r="E194" s="86"/>
      <c r="F194" s="85"/>
    </row>
    <row r="195" spans="1:6" x14ac:dyDescent="0.25">
      <c r="A195" s="85"/>
      <c r="B195" s="119" t="s">
        <v>673</v>
      </c>
      <c r="C195" s="126" t="s">
        <v>3489</v>
      </c>
      <c r="D195" s="127">
        <v>46241</v>
      </c>
      <c r="E195" s="85"/>
      <c r="F195" s="85"/>
    </row>
    <row r="196" spans="1:6" x14ac:dyDescent="0.25">
      <c r="A196" s="85"/>
      <c r="B196" s="119" t="s">
        <v>727</v>
      </c>
      <c r="C196" s="86" t="s">
        <v>3538</v>
      </c>
      <c r="D196" s="127">
        <v>46241</v>
      </c>
      <c r="E196" s="85"/>
      <c r="F196" s="85"/>
    </row>
    <row r="197" spans="1:6" x14ac:dyDescent="0.25">
      <c r="A197" s="85"/>
      <c r="B197" s="119" t="s">
        <v>768</v>
      </c>
      <c r="C197" s="86" t="s">
        <v>3538</v>
      </c>
      <c r="D197" s="127">
        <v>46241</v>
      </c>
      <c r="E197" s="85"/>
      <c r="F197" s="85"/>
    </row>
    <row r="198" spans="1:6" x14ac:dyDescent="0.25">
      <c r="A198" s="85"/>
      <c r="B198" s="119" t="s">
        <v>824</v>
      </c>
      <c r="C198" s="86" t="s">
        <v>3538</v>
      </c>
      <c r="D198" s="127">
        <v>46241</v>
      </c>
      <c r="E198" s="85"/>
      <c r="F198" s="85"/>
    </row>
    <row r="199" spans="1:6" x14ac:dyDescent="0.25">
      <c r="A199" s="85"/>
      <c r="B199" s="119" t="s">
        <v>877</v>
      </c>
      <c r="C199" s="86" t="s">
        <v>3538</v>
      </c>
      <c r="D199" s="127">
        <v>46241</v>
      </c>
      <c r="E199" s="85"/>
      <c r="F199" s="85"/>
    </row>
    <row r="200" spans="1:6" x14ac:dyDescent="0.25">
      <c r="A200" s="85"/>
      <c r="B200" s="119" t="s">
        <v>1534</v>
      </c>
      <c r="C200" s="86" t="s">
        <v>3538</v>
      </c>
      <c r="D200" s="127">
        <v>46241</v>
      </c>
      <c r="E200" s="85"/>
      <c r="F200" s="85"/>
    </row>
    <row r="201" spans="1:6" x14ac:dyDescent="0.25">
      <c r="A201" s="85"/>
      <c r="B201" s="119" t="s">
        <v>1539</v>
      </c>
      <c r="C201" s="86" t="s">
        <v>3538</v>
      </c>
      <c r="D201" s="127">
        <v>46241</v>
      </c>
      <c r="E201" s="85"/>
      <c r="F201" s="85"/>
    </row>
    <row r="202" spans="1:6" x14ac:dyDescent="0.25">
      <c r="A202" s="85"/>
      <c r="B202" s="119" t="s">
        <v>1585</v>
      </c>
      <c r="C202" s="86" t="s">
        <v>3538</v>
      </c>
      <c r="D202" s="127">
        <v>46241</v>
      </c>
      <c r="E202" s="85"/>
      <c r="F202" s="85"/>
    </row>
    <row r="203" spans="1:6" x14ac:dyDescent="0.25">
      <c r="A203" s="85"/>
      <c r="B203" s="119" t="s">
        <v>1375</v>
      </c>
      <c r="C203" s="86" t="s">
        <v>3538</v>
      </c>
      <c r="D203" s="127">
        <v>46241</v>
      </c>
      <c r="E203" s="85"/>
      <c r="F203" s="85"/>
    </row>
    <row r="204" spans="1:6" x14ac:dyDescent="0.25">
      <c r="A204" s="85"/>
      <c r="B204" s="119" t="s">
        <v>676</v>
      </c>
      <c r="C204" s="86" t="s">
        <v>3538</v>
      </c>
      <c r="D204" s="127">
        <v>46241</v>
      </c>
      <c r="E204" s="85"/>
      <c r="F204" s="85"/>
    </row>
    <row r="205" spans="1:6" x14ac:dyDescent="0.25">
      <c r="A205" s="85"/>
      <c r="B205" s="119" t="s">
        <v>743</v>
      </c>
      <c r="C205" s="86" t="s">
        <v>3538</v>
      </c>
      <c r="D205" s="127">
        <v>46241</v>
      </c>
      <c r="E205" s="85"/>
      <c r="F205" s="85"/>
    </row>
    <row r="206" spans="1:6" x14ac:dyDescent="0.25">
      <c r="A206" s="85"/>
      <c r="B206" s="119" t="s">
        <v>746</v>
      </c>
      <c r="C206" s="86" t="s">
        <v>3538</v>
      </c>
      <c r="D206" s="127">
        <v>46241</v>
      </c>
      <c r="E206" s="85"/>
      <c r="F206" s="85"/>
    </row>
    <row r="207" spans="1:6" x14ac:dyDescent="0.25">
      <c r="A207" s="85"/>
      <c r="B207" s="119" t="s">
        <v>749</v>
      </c>
      <c r="C207" s="86" t="s">
        <v>3538</v>
      </c>
      <c r="D207" s="127">
        <v>46241</v>
      </c>
      <c r="E207" s="85"/>
      <c r="F207" s="85"/>
    </row>
    <row r="208" spans="1:6" x14ac:dyDescent="0.25">
      <c r="A208" s="85"/>
      <c r="B208" s="119" t="s">
        <v>809</v>
      </c>
      <c r="C208" s="86" t="s">
        <v>3538</v>
      </c>
      <c r="D208" s="127">
        <v>46241</v>
      </c>
      <c r="E208" s="85"/>
      <c r="F208" s="85"/>
    </row>
    <row r="209" spans="1:6" x14ac:dyDescent="0.25">
      <c r="A209" s="85"/>
      <c r="B209" s="119" t="s">
        <v>841</v>
      </c>
      <c r="C209" s="86" t="s">
        <v>3538</v>
      </c>
      <c r="D209" s="127">
        <v>46241</v>
      </c>
      <c r="E209" s="85"/>
      <c r="F209" s="85"/>
    </row>
    <row r="210" spans="1:6" x14ac:dyDescent="0.25">
      <c r="A210" s="85"/>
      <c r="B210" s="119" t="s">
        <v>844</v>
      </c>
      <c r="C210" s="86" t="s">
        <v>3538</v>
      </c>
      <c r="D210" s="127">
        <v>46241</v>
      </c>
      <c r="E210" s="85"/>
      <c r="F210" s="85"/>
    </row>
    <row r="211" spans="1:6" x14ac:dyDescent="0.25">
      <c r="A211" s="85"/>
      <c r="B211" s="119" t="s">
        <v>847</v>
      </c>
      <c r="C211" s="86" t="s">
        <v>3538</v>
      </c>
      <c r="D211" s="127">
        <v>46241</v>
      </c>
      <c r="E211" s="85"/>
      <c r="F211" s="85"/>
    </row>
    <row r="212" spans="1:6" x14ac:dyDescent="0.25">
      <c r="A212" s="85"/>
      <c r="B212" s="119" t="s">
        <v>850</v>
      </c>
      <c r="C212" s="86" t="s">
        <v>3538</v>
      </c>
      <c r="D212" s="127">
        <v>46241</v>
      </c>
      <c r="E212" s="85"/>
      <c r="F212" s="85"/>
    </row>
    <row r="213" spans="1:6" x14ac:dyDescent="0.25">
      <c r="A213" s="85"/>
      <c r="B213" s="119" t="s">
        <v>853</v>
      </c>
      <c r="C213" s="86" t="s">
        <v>3538</v>
      </c>
      <c r="D213" s="127">
        <v>46241</v>
      </c>
      <c r="E213" s="85"/>
      <c r="F213" s="85"/>
    </row>
    <row r="214" spans="1:6" x14ac:dyDescent="0.25">
      <c r="A214" s="85"/>
      <c r="B214" s="119" t="s">
        <v>857</v>
      </c>
      <c r="C214" s="86" t="s">
        <v>3538</v>
      </c>
      <c r="D214" s="127">
        <v>46241</v>
      </c>
      <c r="E214" s="85"/>
      <c r="F214" s="85"/>
    </row>
    <row r="215" spans="1:6" x14ac:dyDescent="0.25">
      <c r="A215" s="85"/>
      <c r="B215" s="119" t="s">
        <v>860</v>
      </c>
      <c r="C215" s="86" t="s">
        <v>3538</v>
      </c>
      <c r="D215" s="127">
        <v>46241</v>
      </c>
      <c r="E215" s="85"/>
      <c r="F215" s="85"/>
    </row>
    <row r="216" spans="1:6" x14ac:dyDescent="0.25">
      <c r="A216" s="85"/>
      <c r="B216" s="119" t="s">
        <v>1432</v>
      </c>
      <c r="C216" s="86" t="s">
        <v>3538</v>
      </c>
      <c r="D216" s="127">
        <v>46232</v>
      </c>
      <c r="E216" s="127">
        <v>46225</v>
      </c>
      <c r="F216" s="85"/>
    </row>
    <row r="217" spans="1:6" x14ac:dyDescent="0.25">
      <c r="A217" s="85"/>
      <c r="B217" s="119" t="s">
        <v>1432</v>
      </c>
      <c r="C217" s="86" t="s">
        <v>3538</v>
      </c>
      <c r="D217" s="127">
        <v>46245</v>
      </c>
      <c r="E217" s="85"/>
      <c r="F217" s="85"/>
    </row>
    <row r="218" spans="1:6" x14ac:dyDescent="0.25">
      <c r="A218" s="85"/>
      <c r="B218" s="119" t="s">
        <v>1438</v>
      </c>
      <c r="C218" s="86" t="s">
        <v>3538</v>
      </c>
      <c r="D218" s="127">
        <v>46232</v>
      </c>
      <c r="E218" s="127">
        <v>46225</v>
      </c>
      <c r="F218" s="85"/>
    </row>
    <row r="219" spans="1:6" x14ac:dyDescent="0.25">
      <c r="A219" s="85"/>
      <c r="B219" s="119" t="s">
        <v>1438</v>
      </c>
      <c r="C219" s="86" t="s">
        <v>3538</v>
      </c>
      <c r="D219" s="127">
        <v>46245</v>
      </c>
      <c r="E219" s="85"/>
      <c r="F219" s="85"/>
    </row>
    <row r="220" spans="1:6" x14ac:dyDescent="0.25">
      <c r="A220" s="85"/>
      <c r="B220" s="119" t="s">
        <v>1442</v>
      </c>
      <c r="C220" s="86" t="s">
        <v>3538</v>
      </c>
      <c r="D220" s="127">
        <v>46232</v>
      </c>
      <c r="E220" s="127">
        <v>46225</v>
      </c>
      <c r="F220" s="85"/>
    </row>
    <row r="221" spans="1:6" x14ac:dyDescent="0.25">
      <c r="A221" s="85"/>
      <c r="B221" s="119" t="s">
        <v>1442</v>
      </c>
      <c r="C221" s="86" t="s">
        <v>3538</v>
      </c>
      <c r="D221" s="127">
        <v>46245</v>
      </c>
      <c r="E221" s="85"/>
      <c r="F221" s="85"/>
    </row>
    <row r="222" spans="1:6" x14ac:dyDescent="0.25">
      <c r="A222" s="85"/>
      <c r="B222" s="119" t="s">
        <v>1445</v>
      </c>
      <c r="C222" s="86" t="s">
        <v>3538</v>
      </c>
      <c r="D222" s="127">
        <v>46232</v>
      </c>
      <c r="E222" s="127">
        <v>46225</v>
      </c>
      <c r="F222" s="85"/>
    </row>
    <row r="223" spans="1:6" x14ac:dyDescent="0.25">
      <c r="A223" s="85"/>
      <c r="B223" s="119" t="s">
        <v>1445</v>
      </c>
      <c r="C223" s="86" t="s">
        <v>3538</v>
      </c>
      <c r="D223" s="127">
        <v>46245</v>
      </c>
      <c r="E223" s="85"/>
      <c r="F223" s="85"/>
    </row>
    <row r="224" spans="1:6" x14ac:dyDescent="0.25">
      <c r="A224" s="85"/>
      <c r="B224" s="119" t="s">
        <v>1449</v>
      </c>
      <c r="C224" s="86" t="s">
        <v>3538</v>
      </c>
      <c r="D224" s="127">
        <v>46227</v>
      </c>
      <c r="E224" s="116"/>
      <c r="F224" s="85"/>
    </row>
    <row r="225" spans="1:6" x14ac:dyDescent="0.25">
      <c r="A225" s="85"/>
      <c r="B225" s="122" t="s">
        <v>1466</v>
      </c>
      <c r="C225" s="86" t="s">
        <v>3538</v>
      </c>
      <c r="D225" s="127">
        <v>46232</v>
      </c>
      <c r="E225" s="116"/>
      <c r="F225" s="85"/>
    </row>
    <row r="226" spans="1:6" x14ac:dyDescent="0.25">
      <c r="A226" s="85"/>
      <c r="B226" s="122" t="s">
        <v>1469</v>
      </c>
      <c r="C226" s="86" t="s">
        <v>3538</v>
      </c>
      <c r="D226" s="127">
        <v>46232</v>
      </c>
      <c r="E226" s="116"/>
      <c r="F226" s="85"/>
    </row>
    <row r="227" spans="1:6" x14ac:dyDescent="0.25">
      <c r="A227" s="85"/>
      <c r="B227" s="122" t="s">
        <v>1471</v>
      </c>
      <c r="C227" s="86" t="s">
        <v>3538</v>
      </c>
      <c r="D227" s="127">
        <v>46232</v>
      </c>
      <c r="E227" s="116"/>
      <c r="F227" s="85"/>
    </row>
    <row r="228" spans="1:6" x14ac:dyDescent="0.25">
      <c r="A228" s="85"/>
      <c r="B228" s="122" t="s">
        <v>1473</v>
      </c>
      <c r="C228" s="86" t="s">
        <v>3538</v>
      </c>
      <c r="D228" s="127">
        <v>46232</v>
      </c>
      <c r="E228" s="116"/>
      <c r="F228" s="85"/>
    </row>
    <row r="229" spans="1:6" x14ac:dyDescent="0.25">
      <c r="A229" s="85"/>
      <c r="B229" s="122" t="s">
        <v>1475</v>
      </c>
      <c r="C229" s="86" t="s">
        <v>3538</v>
      </c>
      <c r="D229" s="127">
        <v>46232</v>
      </c>
      <c r="E229" s="116"/>
      <c r="F229" s="85"/>
    </row>
    <row r="230" spans="1:6" x14ac:dyDescent="0.25">
      <c r="A230" s="85"/>
      <c r="B230" s="119" t="s">
        <v>1534</v>
      </c>
      <c r="C230" s="86" t="s">
        <v>3538</v>
      </c>
      <c r="D230" s="127">
        <v>46245</v>
      </c>
      <c r="E230" s="85"/>
      <c r="F230" s="85"/>
    </row>
    <row r="231" spans="1:6" x14ac:dyDescent="0.25">
      <c r="A231" s="85"/>
      <c r="B231" s="119" t="s">
        <v>1539</v>
      </c>
      <c r="C231" s="86" t="s">
        <v>3538</v>
      </c>
      <c r="D231" s="127">
        <v>46245</v>
      </c>
      <c r="E231" s="85"/>
      <c r="F231" s="85"/>
    </row>
    <row r="232" spans="1:6" x14ac:dyDescent="0.25">
      <c r="A232" s="85"/>
      <c r="B232" s="119" t="s">
        <v>1585</v>
      </c>
      <c r="C232" s="86" t="s">
        <v>3538</v>
      </c>
      <c r="D232" s="127">
        <v>46245</v>
      </c>
      <c r="E232" s="85"/>
      <c r="F232" s="85"/>
    </row>
    <row r="233" spans="1:6" x14ac:dyDescent="0.25">
      <c r="A233" s="85"/>
      <c r="B233" s="119" t="s">
        <v>1109</v>
      </c>
      <c r="C233" s="86" t="s">
        <v>3538</v>
      </c>
      <c r="D233" s="127">
        <v>46245</v>
      </c>
      <c r="E233" s="85"/>
      <c r="F233" s="85"/>
    </row>
    <row r="234" spans="1:6" x14ac:dyDescent="0.25">
      <c r="A234" s="85"/>
      <c r="B234" s="119" t="s">
        <v>1243</v>
      </c>
      <c r="C234" s="86" t="s">
        <v>3538</v>
      </c>
      <c r="D234" s="127">
        <v>46245</v>
      </c>
      <c r="E234" s="85"/>
      <c r="F234" s="85"/>
    </row>
    <row r="235" spans="1:6" x14ac:dyDescent="0.25">
      <c r="A235" s="85"/>
      <c r="B235" s="128" t="s">
        <v>1534</v>
      </c>
      <c r="C235" s="126" t="s">
        <v>3538</v>
      </c>
      <c r="D235" s="127">
        <v>46248</v>
      </c>
      <c r="E235" s="85"/>
      <c r="F235" s="85"/>
    </row>
    <row r="236" spans="1:6" x14ac:dyDescent="0.25">
      <c r="A236" s="85"/>
      <c r="B236" s="119" t="s">
        <v>1387</v>
      </c>
      <c r="C236" s="86" t="s">
        <v>3538</v>
      </c>
      <c r="D236" s="127">
        <v>46251</v>
      </c>
      <c r="E236" s="85"/>
      <c r="F236" s="85"/>
    </row>
    <row r="237" spans="1:6" x14ac:dyDescent="0.25">
      <c r="A237" s="85"/>
      <c r="B237" s="119" t="s">
        <v>1390</v>
      </c>
      <c r="C237" s="86" t="s">
        <v>3538</v>
      </c>
      <c r="D237" s="127">
        <v>46251</v>
      </c>
      <c r="E237" s="85"/>
      <c r="F237" s="85"/>
    </row>
    <row r="238" spans="1:6" x14ac:dyDescent="0.25">
      <c r="A238" s="85"/>
      <c r="B238" s="119" t="s">
        <v>1401</v>
      </c>
      <c r="C238" s="86" t="s">
        <v>3538</v>
      </c>
      <c r="D238" s="127">
        <v>46251</v>
      </c>
      <c r="E238" s="85"/>
      <c r="F238" s="85"/>
    </row>
    <row r="239" spans="1:6" x14ac:dyDescent="0.25">
      <c r="A239" s="85"/>
      <c r="B239" s="119" t="s">
        <v>1427</v>
      </c>
      <c r="C239" s="86" t="s">
        <v>3538</v>
      </c>
      <c r="D239" s="127">
        <v>46251</v>
      </c>
      <c r="E239" s="85"/>
      <c r="F239" s="85"/>
    </row>
    <row r="240" spans="1:6" x14ac:dyDescent="0.25">
      <c r="A240" s="85"/>
      <c r="B240" s="119" t="s">
        <v>1430</v>
      </c>
      <c r="C240" s="86" t="s">
        <v>3538</v>
      </c>
      <c r="D240" s="127">
        <v>46251</v>
      </c>
      <c r="E240" s="85"/>
      <c r="F240" s="85"/>
    </row>
    <row r="241" spans="1:6" x14ac:dyDescent="0.25">
      <c r="A241" s="85"/>
      <c r="B241" s="119" t="s">
        <v>1432</v>
      </c>
      <c r="C241" s="86" t="s">
        <v>3538</v>
      </c>
      <c r="D241" s="127">
        <v>46251</v>
      </c>
      <c r="E241" s="85"/>
      <c r="F241" s="85"/>
    </row>
    <row r="242" spans="1:6" x14ac:dyDescent="0.25">
      <c r="A242" s="85"/>
      <c r="B242" s="119" t="s">
        <v>1438</v>
      </c>
      <c r="C242" s="86" t="s">
        <v>3538</v>
      </c>
      <c r="D242" s="127">
        <v>46251</v>
      </c>
      <c r="E242" s="85"/>
      <c r="F242" s="85"/>
    </row>
    <row r="243" spans="1:6" x14ac:dyDescent="0.25">
      <c r="A243" s="85"/>
      <c r="B243" s="119" t="s">
        <v>1414</v>
      </c>
      <c r="C243" s="86" t="s">
        <v>3538</v>
      </c>
      <c r="D243" s="127">
        <v>46251</v>
      </c>
      <c r="E243" s="85"/>
      <c r="F243" s="85"/>
    </row>
    <row r="244" spans="1:6" x14ac:dyDescent="0.25">
      <c r="A244" s="85"/>
      <c r="B244" s="119" t="s">
        <v>1419</v>
      </c>
      <c r="C244" s="86" t="s">
        <v>3538</v>
      </c>
      <c r="D244" s="127">
        <v>46251</v>
      </c>
      <c r="E244" s="85"/>
      <c r="F244" s="85"/>
    </row>
    <row r="245" spans="1:6" x14ac:dyDescent="0.25">
      <c r="A245" s="85"/>
      <c r="B245" s="119" t="s">
        <v>1442</v>
      </c>
      <c r="C245" s="86" t="s">
        <v>3538</v>
      </c>
      <c r="D245" s="127">
        <v>46251</v>
      </c>
      <c r="E245" s="85"/>
      <c r="F245" s="85"/>
    </row>
    <row r="246" spans="1:6" x14ac:dyDescent="0.25">
      <c r="A246" s="85"/>
      <c r="B246" s="119" t="s">
        <v>1445</v>
      </c>
      <c r="C246" s="86" t="s">
        <v>3538</v>
      </c>
      <c r="D246" s="127">
        <v>46251</v>
      </c>
      <c r="E246" s="85"/>
      <c r="F246" s="85"/>
    </row>
    <row r="247" spans="1:6" x14ac:dyDescent="0.25">
      <c r="A247" s="85"/>
      <c r="B247" s="119" t="s">
        <v>1449</v>
      </c>
      <c r="C247" s="86" t="s">
        <v>3538</v>
      </c>
      <c r="D247" s="127">
        <v>46251</v>
      </c>
      <c r="E247" s="85"/>
      <c r="F247" s="85"/>
    </row>
    <row r="248" spans="1:6" x14ac:dyDescent="0.25">
      <c r="A248" s="85"/>
      <c r="B248" s="119" t="s">
        <v>1466</v>
      </c>
      <c r="C248" s="86" t="s">
        <v>3538</v>
      </c>
      <c r="D248" s="127">
        <v>46251</v>
      </c>
      <c r="E248" s="85"/>
      <c r="F248" s="85"/>
    </row>
    <row r="249" spans="1:6" x14ac:dyDescent="0.25">
      <c r="A249" s="85"/>
      <c r="B249" s="119" t="s">
        <v>1469</v>
      </c>
      <c r="C249" s="86" t="s">
        <v>3538</v>
      </c>
      <c r="D249" s="127">
        <v>46251</v>
      </c>
      <c r="E249" s="85"/>
      <c r="F249" s="85"/>
    </row>
    <row r="250" spans="1:6" x14ac:dyDescent="0.25">
      <c r="A250" s="85"/>
      <c r="B250" s="119" t="s">
        <v>1471</v>
      </c>
      <c r="C250" s="86" t="s">
        <v>3538</v>
      </c>
      <c r="D250" s="127">
        <v>46251</v>
      </c>
      <c r="E250" s="85"/>
      <c r="F250" s="85"/>
    </row>
    <row r="251" spans="1:6" x14ac:dyDescent="0.25">
      <c r="A251" s="85"/>
      <c r="B251" s="119" t="s">
        <v>1534</v>
      </c>
      <c r="C251" s="86" t="s">
        <v>3538</v>
      </c>
      <c r="D251" s="127">
        <v>46251</v>
      </c>
      <c r="E251" s="85"/>
      <c r="F251" s="85"/>
    </row>
    <row r="252" spans="1:6" x14ac:dyDescent="0.25">
      <c r="A252" s="85"/>
      <c r="B252" s="119" t="s">
        <v>184</v>
      </c>
      <c r="C252" s="86" t="s">
        <v>3538</v>
      </c>
      <c r="D252" s="127">
        <v>46251</v>
      </c>
      <c r="E252" s="85"/>
      <c r="F252" s="85"/>
    </row>
    <row r="253" spans="1:6" x14ac:dyDescent="0.25">
      <c r="A253" s="85"/>
      <c r="B253" s="119" t="s">
        <v>577</v>
      </c>
      <c r="C253" s="86" t="s">
        <v>3538</v>
      </c>
      <c r="D253" s="127">
        <v>46251</v>
      </c>
      <c r="E253" s="85"/>
      <c r="F253" s="85"/>
    </row>
    <row r="254" spans="1:6" x14ac:dyDescent="0.25">
      <c r="A254" s="85"/>
      <c r="B254" s="119" t="s">
        <v>580</v>
      </c>
      <c r="C254" s="86" t="s">
        <v>3538</v>
      </c>
      <c r="D254" s="127">
        <v>46251</v>
      </c>
      <c r="E254" s="85"/>
      <c r="F254" s="85"/>
    </row>
    <row r="255" spans="1:6" x14ac:dyDescent="0.25">
      <c r="A255" s="85"/>
      <c r="B255" s="119" t="s">
        <v>582</v>
      </c>
      <c r="C255" s="86" t="s">
        <v>3538</v>
      </c>
      <c r="D255" s="127">
        <v>46251</v>
      </c>
      <c r="E255" s="85"/>
      <c r="F255" s="85"/>
    </row>
    <row r="256" spans="1:6" x14ac:dyDescent="0.25">
      <c r="A256" s="85"/>
      <c r="B256" s="119" t="s">
        <v>584</v>
      </c>
      <c r="C256" s="86" t="s">
        <v>3538</v>
      </c>
      <c r="D256" s="127">
        <v>46251</v>
      </c>
      <c r="E256" s="85"/>
      <c r="F256" s="85"/>
    </row>
    <row r="257" spans="1:6" x14ac:dyDescent="0.25">
      <c r="A257" s="85"/>
      <c r="B257" s="119" t="s">
        <v>1375</v>
      </c>
      <c r="C257" s="86" t="s">
        <v>3538</v>
      </c>
      <c r="D257" s="127">
        <v>46251</v>
      </c>
      <c r="E257" s="85"/>
      <c r="F257" s="85"/>
    </row>
    <row r="258" spans="1:6" x14ac:dyDescent="0.25">
      <c r="A258" s="85"/>
      <c r="B258" s="119" t="s">
        <v>627</v>
      </c>
      <c r="C258" s="86" t="s">
        <v>3538</v>
      </c>
      <c r="D258" s="127">
        <v>46251</v>
      </c>
      <c r="E258" s="85"/>
      <c r="F258" s="85"/>
    </row>
    <row r="259" spans="1:6" x14ac:dyDescent="0.25">
      <c r="A259" s="85"/>
      <c r="B259" s="119" t="s">
        <v>630</v>
      </c>
      <c r="C259" s="86" t="s">
        <v>3538</v>
      </c>
      <c r="D259" s="127">
        <v>46251</v>
      </c>
      <c r="E259" s="85"/>
      <c r="F259" s="85"/>
    </row>
    <row r="260" spans="1:6" x14ac:dyDescent="0.25">
      <c r="A260" s="85"/>
      <c r="B260" s="119" t="s">
        <v>676</v>
      </c>
      <c r="C260" s="86" t="s">
        <v>3538</v>
      </c>
      <c r="D260" s="127">
        <v>46251</v>
      </c>
      <c r="E260" s="85"/>
      <c r="F260" s="85"/>
    </row>
    <row r="261" spans="1:6" x14ac:dyDescent="0.25">
      <c r="A261" s="85"/>
      <c r="B261" s="119" t="s">
        <v>682</v>
      </c>
      <c r="C261" s="86" t="s">
        <v>3538</v>
      </c>
      <c r="D261" s="127">
        <v>46251</v>
      </c>
      <c r="E261" s="85"/>
      <c r="F261" s="85"/>
    </row>
    <row r="262" spans="1:6" x14ac:dyDescent="0.25">
      <c r="A262" s="85"/>
      <c r="B262" s="119" t="s">
        <v>693</v>
      </c>
      <c r="C262" s="86" t="s">
        <v>3538</v>
      </c>
      <c r="D262" s="127">
        <v>46251</v>
      </c>
      <c r="E262" s="85"/>
      <c r="F262" s="85"/>
    </row>
    <row r="263" spans="1:6" x14ac:dyDescent="0.25">
      <c r="A263" s="85"/>
      <c r="B263" s="119" t="s">
        <v>703</v>
      </c>
      <c r="C263" s="86" t="s">
        <v>3538</v>
      </c>
      <c r="D263" s="127">
        <v>46251</v>
      </c>
      <c r="E263" s="85"/>
      <c r="F263" s="85"/>
    </row>
    <row r="264" spans="1:6" x14ac:dyDescent="0.25">
      <c r="A264" s="85"/>
      <c r="B264" s="119" t="s">
        <v>704</v>
      </c>
      <c r="C264" s="86" t="s">
        <v>3538</v>
      </c>
      <c r="D264" s="127">
        <v>46251</v>
      </c>
      <c r="E264" s="85"/>
      <c r="F264" s="85"/>
    </row>
    <row r="265" spans="1:6" x14ac:dyDescent="0.25">
      <c r="A265" s="85"/>
      <c r="B265" s="119" t="s">
        <v>721</v>
      </c>
      <c r="C265" s="86" t="s">
        <v>3538</v>
      </c>
      <c r="D265" s="127">
        <v>46251</v>
      </c>
      <c r="E265" s="85"/>
      <c r="F265" s="85"/>
    </row>
    <row r="266" spans="1:6" x14ac:dyDescent="0.25">
      <c r="A266" s="85"/>
      <c r="B266" s="119" t="s">
        <v>727</v>
      </c>
      <c r="C266" s="86" t="s">
        <v>3538</v>
      </c>
      <c r="D266" s="127">
        <v>46251</v>
      </c>
      <c r="E266" s="85"/>
      <c r="F266" s="85"/>
    </row>
    <row r="267" spans="1:6" x14ac:dyDescent="0.25">
      <c r="A267" s="85"/>
      <c r="B267" s="119" t="s">
        <v>732</v>
      </c>
      <c r="C267" s="86" t="s">
        <v>3538</v>
      </c>
      <c r="D267" s="127">
        <v>46251</v>
      </c>
      <c r="E267" s="85"/>
      <c r="F267" s="85"/>
    </row>
    <row r="268" spans="1:6" x14ac:dyDescent="0.25">
      <c r="A268" s="85"/>
      <c r="B268" s="119" t="s">
        <v>746</v>
      </c>
      <c r="C268" s="86" t="s">
        <v>3538</v>
      </c>
      <c r="D268" s="127">
        <v>46251</v>
      </c>
      <c r="E268" s="85"/>
      <c r="F268" s="85"/>
    </row>
    <row r="269" spans="1:6" x14ac:dyDescent="0.25">
      <c r="A269" s="85"/>
      <c r="B269" s="119" t="s">
        <v>749</v>
      </c>
      <c r="C269" s="86" t="s">
        <v>3538</v>
      </c>
      <c r="D269" s="127">
        <v>46251</v>
      </c>
      <c r="E269" s="85"/>
      <c r="F269" s="85"/>
    </row>
    <row r="270" spans="1:6" x14ac:dyDescent="0.25">
      <c r="A270" s="85"/>
      <c r="B270" s="119" t="s">
        <v>751</v>
      </c>
      <c r="C270" s="86" t="s">
        <v>3538</v>
      </c>
      <c r="D270" s="127">
        <v>46251</v>
      </c>
      <c r="E270" s="85"/>
      <c r="F270" s="85"/>
    </row>
    <row r="271" spans="1:6" x14ac:dyDescent="0.25">
      <c r="A271" s="85"/>
      <c r="B271" s="119" t="s">
        <v>762</v>
      </c>
      <c r="C271" s="86" t="s">
        <v>3538</v>
      </c>
      <c r="D271" s="127">
        <v>46251</v>
      </c>
      <c r="E271" s="85"/>
      <c r="F271" s="85"/>
    </row>
    <row r="272" spans="1:6" x14ac:dyDescent="0.25">
      <c r="A272" s="85"/>
      <c r="B272" s="119" t="s">
        <v>765</v>
      </c>
      <c r="C272" s="86" t="s">
        <v>3538</v>
      </c>
      <c r="D272" s="127">
        <v>46251</v>
      </c>
      <c r="E272" s="85"/>
      <c r="F272" s="85"/>
    </row>
    <row r="273" spans="1:6" x14ac:dyDescent="0.25">
      <c r="A273" s="85"/>
      <c r="B273" s="119" t="s">
        <v>768</v>
      </c>
      <c r="C273" s="86" t="s">
        <v>3538</v>
      </c>
      <c r="D273" s="127">
        <v>46251</v>
      </c>
      <c r="E273" s="85"/>
      <c r="F273" s="85"/>
    </row>
    <row r="274" spans="1:6" x14ac:dyDescent="0.25">
      <c r="A274" s="85"/>
      <c r="B274" s="119" t="s">
        <v>771</v>
      </c>
      <c r="C274" s="86" t="s">
        <v>3538</v>
      </c>
      <c r="D274" s="127">
        <v>46251</v>
      </c>
      <c r="E274" s="85"/>
      <c r="F274" s="85"/>
    </row>
    <row r="275" spans="1:6" x14ac:dyDescent="0.25">
      <c r="A275" s="85"/>
      <c r="B275" s="119" t="s">
        <v>793</v>
      </c>
      <c r="C275" s="86" t="s">
        <v>3538</v>
      </c>
      <c r="D275" s="127">
        <v>46251</v>
      </c>
      <c r="E275" s="85"/>
      <c r="F275" s="85"/>
    </row>
    <row r="276" spans="1:6" x14ac:dyDescent="0.25">
      <c r="A276" s="85"/>
      <c r="B276" s="119" t="s">
        <v>802</v>
      </c>
      <c r="C276" s="86" t="s">
        <v>3538</v>
      </c>
      <c r="D276" s="127">
        <v>46251</v>
      </c>
      <c r="E276" s="85"/>
      <c r="F276" s="85"/>
    </row>
    <row r="277" spans="1:6" x14ac:dyDescent="0.25">
      <c r="A277" s="85"/>
      <c r="B277" s="119" t="s">
        <v>809</v>
      </c>
      <c r="C277" s="86" t="s">
        <v>3538</v>
      </c>
      <c r="D277" s="127">
        <v>46251</v>
      </c>
      <c r="E277" s="85"/>
      <c r="F277" s="85"/>
    </row>
    <row r="278" spans="1:6" x14ac:dyDescent="0.25">
      <c r="A278" s="85"/>
      <c r="B278" s="119" t="s">
        <v>813</v>
      </c>
      <c r="C278" s="86" t="s">
        <v>3538</v>
      </c>
      <c r="D278" s="127">
        <v>46251</v>
      </c>
      <c r="E278" s="85"/>
      <c r="F278" s="85"/>
    </row>
    <row r="279" spans="1:6" x14ac:dyDescent="0.25">
      <c r="A279" s="85"/>
      <c r="B279" s="119" t="s">
        <v>824</v>
      </c>
      <c r="C279" s="86" t="s">
        <v>3538</v>
      </c>
      <c r="D279" s="127">
        <v>46251</v>
      </c>
      <c r="E279" s="85"/>
      <c r="F279" s="85"/>
    </row>
    <row r="280" spans="1:6" x14ac:dyDescent="0.25">
      <c r="A280" s="85"/>
      <c r="B280" s="119" t="s">
        <v>827</v>
      </c>
      <c r="C280" s="86" t="s">
        <v>3538</v>
      </c>
      <c r="D280" s="127">
        <v>46251</v>
      </c>
      <c r="E280" s="85"/>
      <c r="F280" s="85"/>
    </row>
    <row r="281" spans="1:6" x14ac:dyDescent="0.25">
      <c r="A281" s="85"/>
      <c r="B281" s="119" t="s">
        <v>831</v>
      </c>
      <c r="C281" s="86" t="s">
        <v>3538</v>
      </c>
      <c r="D281" s="127">
        <v>46251</v>
      </c>
      <c r="E281" s="85"/>
      <c r="F281" s="85"/>
    </row>
    <row r="282" spans="1:6" x14ac:dyDescent="0.25">
      <c r="A282" s="85"/>
      <c r="B282" s="119" t="s">
        <v>841</v>
      </c>
      <c r="C282" s="86" t="s">
        <v>3538</v>
      </c>
      <c r="D282" s="127">
        <v>46251</v>
      </c>
      <c r="E282" s="85"/>
      <c r="F282" s="85"/>
    </row>
    <row r="283" spans="1:6" x14ac:dyDescent="0.25">
      <c r="A283" s="85"/>
      <c r="B283" s="119" t="s">
        <v>844</v>
      </c>
      <c r="C283" s="86" t="s">
        <v>3538</v>
      </c>
      <c r="D283" s="127">
        <v>46251</v>
      </c>
      <c r="E283" s="85"/>
      <c r="F283" s="85"/>
    </row>
    <row r="284" spans="1:6" x14ac:dyDescent="0.25">
      <c r="A284" s="85"/>
      <c r="B284" s="119" t="s">
        <v>847</v>
      </c>
      <c r="C284" s="86" t="s">
        <v>3538</v>
      </c>
      <c r="D284" s="127">
        <v>46251</v>
      </c>
      <c r="E284" s="85"/>
      <c r="F284" s="85"/>
    </row>
    <row r="285" spans="1:6" x14ac:dyDescent="0.25">
      <c r="A285" s="85"/>
      <c r="B285" s="119" t="s">
        <v>850</v>
      </c>
      <c r="C285" s="86" t="s">
        <v>3538</v>
      </c>
      <c r="D285" s="127">
        <v>46251</v>
      </c>
      <c r="E285" s="85"/>
      <c r="F285" s="85"/>
    </row>
    <row r="286" spans="1:6" x14ac:dyDescent="0.25">
      <c r="A286" s="85"/>
      <c r="B286" s="119" t="s">
        <v>853</v>
      </c>
      <c r="C286" s="86" t="s">
        <v>3538</v>
      </c>
      <c r="D286" s="127">
        <v>46251</v>
      </c>
      <c r="E286" s="85"/>
      <c r="F286" s="85"/>
    </row>
    <row r="287" spans="1:6" x14ac:dyDescent="0.25">
      <c r="A287" s="85"/>
      <c r="B287" s="119" t="s">
        <v>857</v>
      </c>
      <c r="C287" s="86" t="s">
        <v>3538</v>
      </c>
      <c r="D287" s="127">
        <v>46251</v>
      </c>
      <c r="E287" s="85"/>
      <c r="F287" s="85"/>
    </row>
    <row r="288" spans="1:6" x14ac:dyDescent="0.25">
      <c r="A288" s="85"/>
      <c r="B288" s="119" t="s">
        <v>860</v>
      </c>
      <c r="C288" s="86" t="s">
        <v>3538</v>
      </c>
      <c r="D288" s="127">
        <v>46251</v>
      </c>
      <c r="E288" s="85"/>
      <c r="F288" s="85"/>
    </row>
    <row r="289" spans="1:6" x14ac:dyDescent="0.25">
      <c r="A289" s="85"/>
      <c r="B289" s="119" t="s">
        <v>915</v>
      </c>
      <c r="C289" s="86" t="s">
        <v>3538</v>
      </c>
      <c r="D289" s="127">
        <v>46251</v>
      </c>
      <c r="E289" s="85"/>
      <c r="F289" s="85"/>
    </row>
    <row r="290" spans="1:6" x14ac:dyDescent="0.25">
      <c r="A290" s="85"/>
      <c r="B290" s="119" t="s">
        <v>918</v>
      </c>
      <c r="C290" s="86" t="s">
        <v>3538</v>
      </c>
      <c r="D290" s="127">
        <v>46251</v>
      </c>
      <c r="E290" s="85"/>
      <c r="F290" s="85"/>
    </row>
    <row r="291" spans="1:6" x14ac:dyDescent="0.25">
      <c r="A291" s="85"/>
      <c r="B291" s="119" t="s">
        <v>922</v>
      </c>
      <c r="C291" s="86" t="s">
        <v>3538</v>
      </c>
      <c r="D291" s="127">
        <v>46251</v>
      </c>
      <c r="E291" s="85"/>
      <c r="F291" s="85"/>
    </row>
    <row r="292" spans="1:6" x14ac:dyDescent="0.25">
      <c r="A292" s="85"/>
      <c r="B292" s="119" t="s">
        <v>925</v>
      </c>
      <c r="C292" s="86" t="s">
        <v>3538</v>
      </c>
      <c r="D292" s="127">
        <v>46251</v>
      </c>
      <c r="E292" s="85"/>
      <c r="F292" s="85"/>
    </row>
    <row r="293" spans="1:6" x14ac:dyDescent="0.25">
      <c r="A293" s="85"/>
      <c r="B293" s="119" t="s">
        <v>927</v>
      </c>
      <c r="C293" s="86" t="s">
        <v>3538</v>
      </c>
      <c r="D293" s="127">
        <v>46251</v>
      </c>
      <c r="E293" s="85"/>
      <c r="F293" s="85"/>
    </row>
    <row r="294" spans="1:6" x14ac:dyDescent="0.25">
      <c r="A294" s="85"/>
      <c r="B294" s="119" t="s">
        <v>929</v>
      </c>
      <c r="C294" s="86" t="s">
        <v>3538</v>
      </c>
      <c r="D294" s="127">
        <v>46251</v>
      </c>
      <c r="E294" s="85"/>
      <c r="F294" s="85"/>
    </row>
    <row r="295" spans="1:6" x14ac:dyDescent="0.25">
      <c r="A295" s="85"/>
      <c r="B295" s="119" t="s">
        <v>933</v>
      </c>
      <c r="C295" s="86" t="s">
        <v>3538</v>
      </c>
      <c r="D295" s="127">
        <v>46251</v>
      </c>
      <c r="E295" s="85"/>
      <c r="F295" s="85"/>
    </row>
    <row r="296" spans="1:6" x14ac:dyDescent="0.25">
      <c r="A296" s="85"/>
      <c r="B296" s="119" t="s">
        <v>941</v>
      </c>
      <c r="C296" s="86" t="s">
        <v>3538</v>
      </c>
      <c r="D296" s="127">
        <v>46251</v>
      </c>
      <c r="E296" s="85"/>
      <c r="F296" s="85"/>
    </row>
    <row r="297" spans="1:6" x14ac:dyDescent="0.25">
      <c r="A297" s="85"/>
      <c r="B297" s="119" t="s">
        <v>948</v>
      </c>
      <c r="C297" s="86" t="s">
        <v>3538</v>
      </c>
      <c r="D297" s="127">
        <v>46251</v>
      </c>
      <c r="E297" s="85"/>
      <c r="F297" s="85"/>
    </row>
    <row r="298" spans="1:6" x14ac:dyDescent="0.25">
      <c r="A298" s="85"/>
      <c r="B298" s="119" t="s">
        <v>948</v>
      </c>
      <c r="C298" s="86" t="s">
        <v>3538</v>
      </c>
      <c r="D298" s="127">
        <v>46251</v>
      </c>
      <c r="E298" s="85"/>
      <c r="F298" s="85"/>
    </row>
    <row r="299" spans="1:6" x14ac:dyDescent="0.25">
      <c r="A299" s="85"/>
      <c r="B299" s="119" t="s">
        <v>952</v>
      </c>
      <c r="C299" s="86" t="s">
        <v>3538</v>
      </c>
      <c r="D299" s="127">
        <v>46251</v>
      </c>
      <c r="E299" s="85"/>
      <c r="F299" s="85"/>
    </row>
    <row r="300" spans="1:6" x14ac:dyDescent="0.25">
      <c r="A300" s="85"/>
      <c r="B300" s="119" t="s">
        <v>957</v>
      </c>
      <c r="C300" s="86" t="s">
        <v>3538</v>
      </c>
      <c r="D300" s="127">
        <v>46251</v>
      </c>
      <c r="E300" s="85"/>
      <c r="F300" s="85"/>
    </row>
    <row r="301" spans="1:6" x14ac:dyDescent="0.25">
      <c r="A301" s="85"/>
      <c r="B301" s="119" t="s">
        <v>960</v>
      </c>
      <c r="C301" s="86" t="s">
        <v>3538</v>
      </c>
      <c r="D301" s="127">
        <v>46251</v>
      </c>
      <c r="E301" s="85"/>
      <c r="F301" s="85"/>
    </row>
    <row r="302" spans="1:6" x14ac:dyDescent="0.25">
      <c r="A302" s="85"/>
      <c r="B302" s="119" t="s">
        <v>973</v>
      </c>
      <c r="C302" s="86" t="s">
        <v>3538</v>
      </c>
      <c r="D302" s="127">
        <v>46251</v>
      </c>
      <c r="E302" s="85"/>
      <c r="F302" s="85"/>
    </row>
    <row r="303" spans="1:6" x14ac:dyDescent="0.25">
      <c r="A303" s="85"/>
      <c r="B303" s="119" t="s">
        <v>981</v>
      </c>
      <c r="C303" s="86" t="s">
        <v>3538</v>
      </c>
      <c r="D303" s="127">
        <v>46251</v>
      </c>
      <c r="E303" s="85"/>
      <c r="F303" s="85"/>
    </row>
    <row r="304" spans="1:6" x14ac:dyDescent="0.25">
      <c r="A304" s="85"/>
      <c r="B304" s="119" t="s">
        <v>986</v>
      </c>
      <c r="C304" s="86" t="s">
        <v>3538</v>
      </c>
      <c r="D304" s="127">
        <v>46251</v>
      </c>
      <c r="E304" s="85"/>
      <c r="F304" s="85"/>
    </row>
    <row r="305" spans="1:6" x14ac:dyDescent="0.25">
      <c r="A305" s="85"/>
      <c r="B305" s="119" t="s">
        <v>1007</v>
      </c>
      <c r="C305" s="86" t="s">
        <v>3538</v>
      </c>
      <c r="D305" s="127">
        <v>46251</v>
      </c>
      <c r="E305" s="85"/>
      <c r="F305" s="85"/>
    </row>
    <row r="306" spans="1:6" x14ac:dyDescent="0.25">
      <c r="A306" s="85"/>
      <c r="B306" s="119" t="s">
        <v>1031</v>
      </c>
      <c r="C306" s="86" t="s">
        <v>3538</v>
      </c>
      <c r="D306" s="127">
        <v>46251</v>
      </c>
      <c r="E306" s="85"/>
      <c r="F306" s="85"/>
    </row>
    <row r="307" spans="1:6" x14ac:dyDescent="0.25">
      <c r="A307" s="85"/>
      <c r="B307" s="119" t="s">
        <v>1034</v>
      </c>
      <c r="C307" s="86" t="s">
        <v>3538</v>
      </c>
      <c r="D307" s="127">
        <v>46251</v>
      </c>
      <c r="E307" s="85"/>
      <c r="F307" s="85"/>
    </row>
    <row r="308" spans="1:6" x14ac:dyDescent="0.25">
      <c r="A308" s="85"/>
      <c r="B308" s="119" t="s">
        <v>1040</v>
      </c>
      <c r="C308" s="86" t="s">
        <v>3538</v>
      </c>
      <c r="D308" s="127">
        <v>46251</v>
      </c>
      <c r="E308" s="85"/>
      <c r="F308" s="85"/>
    </row>
    <row r="309" spans="1:6" x14ac:dyDescent="0.25">
      <c r="A309" s="85"/>
      <c r="B309" s="119" t="s">
        <v>1044</v>
      </c>
      <c r="C309" s="86" t="s">
        <v>3538</v>
      </c>
      <c r="D309" s="127">
        <v>46251</v>
      </c>
      <c r="E309" s="85"/>
      <c r="F309" s="85"/>
    </row>
    <row r="310" spans="1:6" x14ac:dyDescent="0.25">
      <c r="A310" s="85"/>
      <c r="B310" s="119" t="s">
        <v>1052</v>
      </c>
      <c r="C310" s="86" t="s">
        <v>3538</v>
      </c>
      <c r="D310" s="127">
        <v>46251</v>
      </c>
      <c r="E310" s="85"/>
      <c r="F310" s="85"/>
    </row>
    <row r="311" spans="1:6" x14ac:dyDescent="0.25">
      <c r="A311" s="85"/>
      <c r="B311" s="119" t="s">
        <v>1082</v>
      </c>
      <c r="C311" s="86" t="s">
        <v>3538</v>
      </c>
      <c r="D311" s="127">
        <v>46251</v>
      </c>
      <c r="E311" s="85"/>
      <c r="F311" s="85"/>
    </row>
    <row r="312" spans="1:6" x14ac:dyDescent="0.25">
      <c r="A312" s="85"/>
      <c r="B312" s="119" t="s">
        <v>63</v>
      </c>
      <c r="C312" s="126" t="s">
        <v>3489</v>
      </c>
      <c r="D312" s="127">
        <v>46247</v>
      </c>
      <c r="E312" s="85"/>
      <c r="F312" s="85"/>
    </row>
    <row r="313" spans="1:6" x14ac:dyDescent="0.25">
      <c r="A313" s="85"/>
      <c r="B313" s="119" t="s">
        <v>69</v>
      </c>
      <c r="C313" s="126" t="s">
        <v>3489</v>
      </c>
      <c r="D313" s="127">
        <v>46247</v>
      </c>
      <c r="E313" s="85"/>
      <c r="F313" s="85"/>
    </row>
    <row r="314" spans="1:6" x14ac:dyDescent="0.25">
      <c r="A314" s="85"/>
      <c r="B314" s="119" t="s">
        <v>71</v>
      </c>
      <c r="C314" s="126" t="s">
        <v>3489</v>
      </c>
      <c r="D314" s="127">
        <v>46247</v>
      </c>
      <c r="E314" s="85"/>
      <c r="F314" s="85"/>
    </row>
    <row r="315" spans="1:6" x14ac:dyDescent="0.25">
      <c r="A315" s="85"/>
      <c r="B315" s="119" t="s">
        <v>73</v>
      </c>
      <c r="C315" s="126" t="s">
        <v>3489</v>
      </c>
      <c r="D315" s="127">
        <v>46247</v>
      </c>
      <c r="E315" s="85"/>
      <c r="F315" s="85"/>
    </row>
    <row r="316" spans="1:6" x14ac:dyDescent="0.25">
      <c r="A316" s="85"/>
      <c r="B316" s="119" t="s">
        <v>75</v>
      </c>
      <c r="C316" s="126" t="s">
        <v>3489</v>
      </c>
      <c r="D316" s="127">
        <v>46247</v>
      </c>
      <c r="E316" s="85"/>
      <c r="F316" s="85"/>
    </row>
    <row r="317" spans="1:6" x14ac:dyDescent="0.25">
      <c r="A317" s="85"/>
      <c r="B317" s="119" t="s">
        <v>421</v>
      </c>
      <c r="C317" s="126" t="s">
        <v>3489</v>
      </c>
      <c r="D317" s="127">
        <v>46247</v>
      </c>
      <c r="E317" s="85"/>
      <c r="F317" s="85"/>
    </row>
    <row r="318" spans="1:6" x14ac:dyDescent="0.25">
      <c r="A318" s="85"/>
      <c r="B318" s="119" t="s">
        <v>425</v>
      </c>
      <c r="C318" s="126" t="s">
        <v>3489</v>
      </c>
      <c r="D318" s="127">
        <v>46247</v>
      </c>
      <c r="E318" s="85"/>
      <c r="F318" s="85"/>
    </row>
    <row r="319" spans="1:6" x14ac:dyDescent="0.25">
      <c r="A319" s="85"/>
      <c r="B319" s="119" t="s">
        <v>429</v>
      </c>
      <c r="C319" s="126" t="s">
        <v>3489</v>
      </c>
      <c r="D319" s="127">
        <v>46247</v>
      </c>
      <c r="E319" s="85"/>
      <c r="F319" s="85"/>
    </row>
    <row r="320" spans="1:6" x14ac:dyDescent="0.25">
      <c r="A320" s="85"/>
      <c r="B320" s="119" t="s">
        <v>431</v>
      </c>
      <c r="C320" s="126" t="s">
        <v>3489</v>
      </c>
      <c r="D320" s="127">
        <v>46247</v>
      </c>
      <c r="E320" s="85"/>
      <c r="F320" s="85"/>
    </row>
    <row r="321" spans="1:6" x14ac:dyDescent="0.25">
      <c r="A321" s="85"/>
      <c r="B321" s="119" t="s">
        <v>433</v>
      </c>
      <c r="C321" s="126" t="s">
        <v>3489</v>
      </c>
      <c r="D321" s="127">
        <v>46247</v>
      </c>
      <c r="E321" s="85"/>
      <c r="F321" s="85"/>
    </row>
    <row r="322" spans="1:6" x14ac:dyDescent="0.25">
      <c r="A322" s="85"/>
      <c r="B322" s="119" t="s">
        <v>1520</v>
      </c>
      <c r="C322" s="126" t="s">
        <v>3489</v>
      </c>
      <c r="D322" s="127">
        <v>46247</v>
      </c>
      <c r="E322" s="85"/>
      <c r="F322" s="85"/>
    </row>
    <row r="323" spans="1:6" x14ac:dyDescent="0.25">
      <c r="A323" s="85"/>
      <c r="B323" s="119" t="s">
        <v>1525</v>
      </c>
      <c r="C323" s="126" t="s">
        <v>3489</v>
      </c>
      <c r="D323" s="127">
        <v>46247</v>
      </c>
      <c r="E323" s="85"/>
      <c r="F323" s="85"/>
    </row>
    <row r="324" spans="1:6" x14ac:dyDescent="0.25">
      <c r="A324" s="85"/>
      <c r="B324" s="119" t="s">
        <v>654</v>
      </c>
      <c r="C324" s="126" t="s">
        <v>3489</v>
      </c>
      <c r="D324" s="127">
        <v>46247</v>
      </c>
      <c r="E324" s="85"/>
      <c r="F324" s="85"/>
    </row>
    <row r="325" spans="1:6" x14ac:dyDescent="0.25">
      <c r="A325" s="85"/>
      <c r="B325" s="119" t="s">
        <v>658</v>
      </c>
      <c r="C325" s="126" t="s">
        <v>3489</v>
      </c>
      <c r="D325" s="127">
        <v>46247</v>
      </c>
      <c r="E325" s="85"/>
      <c r="F325" s="85"/>
    </row>
    <row r="326" spans="1:6" x14ac:dyDescent="0.25">
      <c r="A326" s="85"/>
      <c r="B326" s="119" t="s">
        <v>660</v>
      </c>
      <c r="C326" s="126" t="s">
        <v>3489</v>
      </c>
      <c r="D326" s="127">
        <v>46247</v>
      </c>
      <c r="E326" s="85"/>
      <c r="F326" s="85"/>
    </row>
    <row r="327" spans="1:6" x14ac:dyDescent="0.25">
      <c r="A327" s="85"/>
      <c r="B327" s="119" t="s">
        <v>664</v>
      </c>
      <c r="C327" s="126" t="s">
        <v>3489</v>
      </c>
      <c r="D327" s="127">
        <v>46247</v>
      </c>
      <c r="E327" s="85"/>
      <c r="F327" s="85"/>
    </row>
    <row r="328" spans="1:6" x14ac:dyDescent="0.25">
      <c r="A328" s="85"/>
      <c r="B328" s="119" t="s">
        <v>965</v>
      </c>
      <c r="C328" s="126" t="s">
        <v>3489</v>
      </c>
      <c r="D328" s="127">
        <v>46247</v>
      </c>
      <c r="E328" s="85"/>
      <c r="F328" s="85"/>
    </row>
    <row r="329" spans="1:6" x14ac:dyDescent="0.25">
      <c r="A329" s="85"/>
      <c r="B329" s="119" t="s">
        <v>2026</v>
      </c>
      <c r="C329" s="126" t="s">
        <v>3489</v>
      </c>
      <c r="D329" s="127">
        <v>46247</v>
      </c>
      <c r="E329" s="85"/>
      <c r="F329" s="85"/>
    </row>
    <row r="330" spans="1:6" x14ac:dyDescent="0.25">
      <c r="A330" s="85"/>
      <c r="B330" s="119" t="s">
        <v>2029</v>
      </c>
      <c r="C330" s="126" t="s">
        <v>3489</v>
      </c>
      <c r="D330" s="127">
        <v>46247</v>
      </c>
      <c r="E330" s="85"/>
      <c r="F330" s="85"/>
    </row>
    <row r="331" spans="1:6" x14ac:dyDescent="0.25">
      <c r="A331" s="85"/>
      <c r="B331" s="119" t="s">
        <v>2031</v>
      </c>
      <c r="C331" s="126" t="s">
        <v>3489</v>
      </c>
      <c r="D331" s="127">
        <v>46247</v>
      </c>
      <c r="E331" s="85"/>
      <c r="F331" s="85"/>
    </row>
    <row r="332" spans="1:6" x14ac:dyDescent="0.25">
      <c r="A332" s="85"/>
      <c r="B332" s="119" t="s">
        <v>2033</v>
      </c>
      <c r="C332" s="126" t="s">
        <v>3489</v>
      </c>
      <c r="D332" s="127">
        <v>46247</v>
      </c>
      <c r="E332" s="85"/>
      <c r="F332" s="85"/>
    </row>
    <row r="333" spans="1:6" x14ac:dyDescent="0.25">
      <c r="A333" s="85"/>
      <c r="B333" s="119" t="s">
        <v>2035</v>
      </c>
      <c r="C333" s="126" t="s">
        <v>3489</v>
      </c>
      <c r="D333" s="127">
        <v>46247</v>
      </c>
      <c r="E333" s="85"/>
      <c r="F333" s="85"/>
    </row>
    <row r="334" spans="1:6" x14ac:dyDescent="0.25">
      <c r="A334" s="85"/>
      <c r="B334" s="119" t="s">
        <v>2037</v>
      </c>
      <c r="C334" s="126" t="s">
        <v>3489</v>
      </c>
      <c r="D334" s="127">
        <v>46247</v>
      </c>
      <c r="E334" s="85"/>
      <c r="F334" s="85"/>
    </row>
    <row r="335" spans="1:6" x14ac:dyDescent="0.25">
      <c r="A335" s="85"/>
      <c r="B335" s="119" t="s">
        <v>2041</v>
      </c>
      <c r="C335" s="126" t="s">
        <v>3489</v>
      </c>
      <c r="D335" s="127">
        <v>46247</v>
      </c>
      <c r="E335" s="85"/>
      <c r="F335" s="85"/>
    </row>
    <row r="336" spans="1:6" x14ac:dyDescent="0.25">
      <c r="A336" s="85"/>
      <c r="B336" s="119" t="s">
        <v>2043</v>
      </c>
      <c r="C336" s="126" t="s">
        <v>3489</v>
      </c>
      <c r="D336" s="127">
        <v>46247</v>
      </c>
      <c r="E336" s="85"/>
      <c r="F336" s="85"/>
    </row>
    <row r="337" spans="1:6" x14ac:dyDescent="0.25">
      <c r="A337" s="85"/>
      <c r="B337" s="119" t="s">
        <v>2045</v>
      </c>
      <c r="C337" s="126" t="s">
        <v>3489</v>
      </c>
      <c r="D337" s="127">
        <v>46247</v>
      </c>
      <c r="E337" s="85"/>
      <c r="F337" s="85"/>
    </row>
    <row r="338" spans="1:6" x14ac:dyDescent="0.25">
      <c r="A338" s="85"/>
      <c r="B338" s="119" t="s">
        <v>2047</v>
      </c>
      <c r="C338" s="126" t="s">
        <v>3489</v>
      </c>
      <c r="D338" s="127">
        <v>46247</v>
      </c>
      <c r="E338" s="85"/>
      <c r="F338" s="85"/>
    </row>
    <row r="339" spans="1:6" x14ac:dyDescent="0.25">
      <c r="A339" s="85"/>
      <c r="B339" s="119" t="s">
        <v>2049</v>
      </c>
      <c r="C339" s="126" t="s">
        <v>3489</v>
      </c>
      <c r="D339" s="127">
        <v>46247</v>
      </c>
      <c r="E339" s="85"/>
      <c r="F339" s="85"/>
    </row>
    <row r="340" spans="1:6" x14ac:dyDescent="0.25">
      <c r="A340" s="85"/>
      <c r="B340" s="119" t="s">
        <v>2053</v>
      </c>
      <c r="C340" s="126" t="s">
        <v>3489</v>
      </c>
      <c r="D340" s="127">
        <v>46247</v>
      </c>
      <c r="E340" s="85"/>
      <c r="F340" s="85"/>
    </row>
    <row r="341" spans="1:6" x14ac:dyDescent="0.25">
      <c r="A341" s="85"/>
      <c r="B341" s="119" t="s">
        <v>2055</v>
      </c>
      <c r="C341" s="126" t="s">
        <v>3489</v>
      </c>
      <c r="D341" s="127">
        <v>46247</v>
      </c>
      <c r="E341" s="85"/>
      <c r="F341" s="85"/>
    </row>
    <row r="342" spans="1:6" x14ac:dyDescent="0.25">
      <c r="A342" s="85"/>
      <c r="B342" s="119" t="s">
        <v>2057</v>
      </c>
      <c r="C342" s="126" t="s">
        <v>3489</v>
      </c>
      <c r="D342" s="127">
        <v>46247</v>
      </c>
      <c r="E342" s="85"/>
      <c r="F342" s="85"/>
    </row>
    <row r="343" spans="1:6" x14ac:dyDescent="0.25">
      <c r="A343" s="85"/>
      <c r="B343" s="119" t="s">
        <v>2059</v>
      </c>
      <c r="C343" s="126" t="s">
        <v>3489</v>
      </c>
      <c r="D343" s="127">
        <v>46247</v>
      </c>
      <c r="E343" s="85"/>
      <c r="F343" s="85"/>
    </row>
    <row r="344" spans="1:6" x14ac:dyDescent="0.25">
      <c r="A344" s="85"/>
      <c r="B344" s="119" t="s">
        <v>2064</v>
      </c>
      <c r="C344" s="126" t="s">
        <v>3489</v>
      </c>
      <c r="D344" s="127">
        <v>46247</v>
      </c>
      <c r="E344" s="85"/>
      <c r="F344" s="85"/>
    </row>
    <row r="345" spans="1:6" x14ac:dyDescent="0.25">
      <c r="A345" s="85"/>
      <c r="B345" s="119" t="s">
        <v>2066</v>
      </c>
      <c r="C345" s="126" t="s">
        <v>3489</v>
      </c>
      <c r="D345" s="127">
        <v>46247</v>
      </c>
      <c r="E345" s="85"/>
      <c r="F345" s="85"/>
    </row>
    <row r="346" spans="1:6" x14ac:dyDescent="0.25">
      <c r="A346" s="85"/>
      <c r="B346" s="119" t="s">
        <v>2068</v>
      </c>
      <c r="C346" s="126" t="s">
        <v>3489</v>
      </c>
      <c r="D346" s="127">
        <v>46247</v>
      </c>
      <c r="E346" s="85"/>
      <c r="F346" s="85"/>
    </row>
    <row r="347" spans="1:6" x14ac:dyDescent="0.25">
      <c r="A347" s="85"/>
      <c r="B347" s="119" t="s">
        <v>2070</v>
      </c>
      <c r="C347" s="126" t="s">
        <v>3489</v>
      </c>
      <c r="D347" s="127">
        <v>46247</v>
      </c>
      <c r="E347" s="85"/>
      <c r="F347" s="85"/>
    </row>
    <row r="348" spans="1:6" x14ac:dyDescent="0.25">
      <c r="A348" s="85"/>
      <c r="B348" s="119" t="s">
        <v>2071</v>
      </c>
      <c r="C348" s="126" t="s">
        <v>3489</v>
      </c>
      <c r="D348" s="127">
        <v>46247</v>
      </c>
      <c r="E348" s="85"/>
      <c r="F348" s="85"/>
    </row>
    <row r="349" spans="1:6" x14ac:dyDescent="0.25">
      <c r="A349" s="85"/>
      <c r="B349" s="129" t="s">
        <v>1983</v>
      </c>
      <c r="C349" s="126" t="s">
        <v>3538</v>
      </c>
      <c r="D349" s="127">
        <v>46252</v>
      </c>
      <c r="E349" s="85"/>
      <c r="F349" s="85"/>
    </row>
    <row r="350" spans="1:6" x14ac:dyDescent="0.25">
      <c r="A350" s="85"/>
      <c r="B350" s="129" t="s">
        <v>1986</v>
      </c>
      <c r="C350" s="126" t="s">
        <v>3538</v>
      </c>
      <c r="D350" s="127">
        <v>46252</v>
      </c>
      <c r="E350" s="85"/>
      <c r="F350" s="85"/>
    </row>
    <row r="351" spans="1:6" x14ac:dyDescent="0.25">
      <c r="A351" s="85"/>
      <c r="B351" s="119" t="s">
        <v>1989</v>
      </c>
      <c r="C351" s="126" t="s">
        <v>3538</v>
      </c>
      <c r="D351" s="127">
        <v>46252</v>
      </c>
      <c r="E351" s="85"/>
      <c r="F351" s="85"/>
    </row>
    <row r="352" spans="1:6" x14ac:dyDescent="0.25">
      <c r="A352" s="85"/>
      <c r="B352" s="119" t="s">
        <v>1387</v>
      </c>
      <c r="C352" s="126" t="s">
        <v>3538</v>
      </c>
      <c r="D352" s="127">
        <v>46252</v>
      </c>
      <c r="E352" s="85"/>
      <c r="F352" s="85"/>
    </row>
    <row r="353" spans="1:6" x14ac:dyDescent="0.25">
      <c r="A353" s="85"/>
      <c r="B353" s="119" t="s">
        <v>1466</v>
      </c>
      <c r="C353" s="126" t="s">
        <v>3538</v>
      </c>
      <c r="D353" s="127">
        <v>46252</v>
      </c>
      <c r="E353" s="85"/>
      <c r="F353" s="85"/>
    </row>
    <row r="354" spans="1:6" x14ac:dyDescent="0.25">
      <c r="A354" s="85"/>
      <c r="B354" s="119" t="s">
        <v>1469</v>
      </c>
      <c r="C354" s="126" t="s">
        <v>3538</v>
      </c>
      <c r="D354" s="127">
        <v>46252</v>
      </c>
      <c r="E354" s="85"/>
      <c r="F354" s="85"/>
    </row>
    <row r="355" spans="1:6" x14ac:dyDescent="0.25">
      <c r="A355" s="85"/>
      <c r="B355" s="119" t="s">
        <v>1471</v>
      </c>
      <c r="C355" s="126" t="s">
        <v>3538</v>
      </c>
      <c r="D355" s="127">
        <v>46252</v>
      </c>
      <c r="E355" s="85"/>
      <c r="F355" s="85"/>
    </row>
    <row r="356" spans="1:6" x14ac:dyDescent="0.25">
      <c r="A356" s="85"/>
      <c r="B356" s="119" t="s">
        <v>3547</v>
      </c>
      <c r="C356" s="126" t="s">
        <v>3538</v>
      </c>
      <c r="D356" s="127">
        <v>46252</v>
      </c>
      <c r="E356" s="85"/>
      <c r="F356" s="85"/>
    </row>
    <row r="357" spans="1:6" x14ac:dyDescent="0.25">
      <c r="A357" s="85"/>
      <c r="B357" s="119" t="s">
        <v>2240</v>
      </c>
      <c r="C357" s="126" t="s">
        <v>3489</v>
      </c>
      <c r="D357" s="127">
        <v>46252</v>
      </c>
      <c r="E357" s="85"/>
      <c r="F357" s="85"/>
    </row>
    <row r="358" spans="1:6" x14ac:dyDescent="0.25">
      <c r="A358" s="85"/>
      <c r="B358" s="119" t="s">
        <v>2242</v>
      </c>
      <c r="C358" s="126" t="s">
        <v>3538</v>
      </c>
      <c r="D358" s="127">
        <v>46252</v>
      </c>
      <c r="E358" s="85"/>
      <c r="F358" s="85"/>
    </row>
    <row r="359" spans="1:6" x14ac:dyDescent="0.25">
      <c r="A359" s="85"/>
      <c r="B359" s="119" t="s">
        <v>2244</v>
      </c>
      <c r="C359" s="126" t="s">
        <v>3538</v>
      </c>
      <c r="D359" s="127">
        <v>46252</v>
      </c>
      <c r="E359" s="85"/>
      <c r="F359" s="85"/>
    </row>
    <row r="360" spans="1:6" x14ac:dyDescent="0.25">
      <c r="A360" s="85"/>
      <c r="B360" s="119" t="s">
        <v>1994</v>
      </c>
      <c r="C360" s="126" t="s">
        <v>3538</v>
      </c>
      <c r="D360" s="127">
        <v>46253</v>
      </c>
      <c r="E360" s="85"/>
      <c r="F360" s="85"/>
    </row>
    <row r="361" spans="1:6" x14ac:dyDescent="0.25">
      <c r="A361" s="85"/>
      <c r="B361" s="119" t="s">
        <v>635</v>
      </c>
      <c r="C361" s="126" t="s">
        <v>3538</v>
      </c>
      <c r="D361" s="127">
        <v>46253</v>
      </c>
      <c r="E361" s="85"/>
      <c r="F361" s="85"/>
    </row>
    <row r="362" spans="1:6" x14ac:dyDescent="0.25">
      <c r="A362" s="85"/>
      <c r="B362" s="119" t="s">
        <v>682</v>
      </c>
      <c r="C362" s="126" t="s">
        <v>3538</v>
      </c>
      <c r="D362" s="127">
        <v>46253</v>
      </c>
      <c r="E362" s="85"/>
      <c r="F362" s="85"/>
    </row>
    <row r="363" spans="1:6" x14ac:dyDescent="0.25">
      <c r="A363" s="85"/>
      <c r="B363" s="119" t="s">
        <v>703</v>
      </c>
      <c r="C363" s="126" t="s">
        <v>3538</v>
      </c>
      <c r="D363" s="127">
        <v>46253</v>
      </c>
      <c r="E363" s="85"/>
      <c r="F363" s="85"/>
    </row>
    <row r="364" spans="1:6" x14ac:dyDescent="0.25">
      <c r="A364" s="85"/>
      <c r="B364" s="119" t="s">
        <v>721</v>
      </c>
      <c r="C364" s="126" t="s">
        <v>3538</v>
      </c>
      <c r="D364" s="127">
        <v>46253</v>
      </c>
      <c r="E364" s="85"/>
      <c r="F364" s="85"/>
    </row>
    <row r="365" spans="1:6" x14ac:dyDescent="0.25">
      <c r="A365" s="85"/>
      <c r="B365" s="119" t="s">
        <v>732</v>
      </c>
      <c r="C365" s="126" t="s">
        <v>3538</v>
      </c>
      <c r="D365" s="127">
        <v>46253</v>
      </c>
      <c r="E365" s="85"/>
      <c r="F365" s="85"/>
    </row>
    <row r="366" spans="1:6" x14ac:dyDescent="0.25">
      <c r="A366" s="85"/>
      <c r="B366" s="119" t="s">
        <v>746</v>
      </c>
      <c r="C366" s="126" t="s">
        <v>3538</v>
      </c>
      <c r="D366" s="127">
        <v>46253</v>
      </c>
      <c r="E366" s="85"/>
      <c r="F366" s="85"/>
    </row>
    <row r="367" spans="1:6" x14ac:dyDescent="0.25">
      <c r="A367" s="85"/>
      <c r="B367" s="119" t="s">
        <v>775</v>
      </c>
      <c r="C367" s="126" t="s">
        <v>3538</v>
      </c>
      <c r="D367" s="127">
        <v>46253</v>
      </c>
      <c r="E367" s="85"/>
      <c r="F367" s="85"/>
    </row>
    <row r="368" spans="1:6" x14ac:dyDescent="0.25">
      <c r="A368" s="85"/>
      <c r="B368" s="119" t="s">
        <v>844</v>
      </c>
      <c r="C368" s="126" t="s">
        <v>3538</v>
      </c>
      <c r="D368" s="127">
        <v>46253</v>
      </c>
      <c r="E368" s="85"/>
      <c r="F368" s="85"/>
    </row>
    <row r="369" spans="1:6" x14ac:dyDescent="0.25">
      <c r="A369" s="85"/>
      <c r="B369" s="119" t="s">
        <v>865</v>
      </c>
      <c r="C369" s="126" t="s">
        <v>3538</v>
      </c>
      <c r="D369" s="127">
        <v>46253</v>
      </c>
      <c r="E369" s="85"/>
      <c r="F369" s="85"/>
    </row>
    <row r="370" spans="1:6" x14ac:dyDescent="0.25">
      <c r="A370" s="85"/>
      <c r="B370" s="119" t="s">
        <v>868</v>
      </c>
      <c r="C370" s="126" t="s">
        <v>3538</v>
      </c>
      <c r="D370" s="127">
        <v>46253</v>
      </c>
      <c r="E370" s="85"/>
      <c r="F370" s="85"/>
    </row>
    <row r="371" spans="1:6" x14ac:dyDescent="0.25">
      <c r="A371" s="85"/>
      <c r="B371" s="119" t="s">
        <v>870</v>
      </c>
      <c r="C371" s="126" t="s">
        <v>3538</v>
      </c>
      <c r="D371" s="127">
        <v>46253</v>
      </c>
      <c r="E371" s="85"/>
      <c r="F371" s="85"/>
    </row>
    <row r="372" spans="1:6" x14ac:dyDescent="0.25">
      <c r="A372" s="85"/>
      <c r="B372" s="119" t="s">
        <v>872</v>
      </c>
      <c r="C372" s="126" t="s">
        <v>3538</v>
      </c>
      <c r="D372" s="127">
        <v>46253</v>
      </c>
      <c r="E372" s="85"/>
      <c r="F372" s="85"/>
    </row>
    <row r="373" spans="1:6" x14ac:dyDescent="0.25">
      <c r="A373" s="85"/>
      <c r="B373" s="119" t="s">
        <v>885</v>
      </c>
      <c r="C373" s="126" t="s">
        <v>3538</v>
      </c>
      <c r="D373" s="127">
        <v>46253</v>
      </c>
      <c r="E373" s="85"/>
      <c r="F373" s="85"/>
    </row>
    <row r="374" spans="1:6" x14ac:dyDescent="0.25">
      <c r="A374" s="85"/>
      <c r="B374" s="119" t="s">
        <v>888</v>
      </c>
      <c r="C374" s="126" t="s">
        <v>3538</v>
      </c>
      <c r="D374" s="127">
        <v>46253</v>
      </c>
      <c r="E374" s="85"/>
      <c r="F374" s="85"/>
    </row>
    <row r="375" spans="1:6" x14ac:dyDescent="0.25">
      <c r="A375" s="85"/>
      <c r="B375" s="119" t="s">
        <v>890</v>
      </c>
      <c r="C375" s="126" t="s">
        <v>3538</v>
      </c>
      <c r="D375" s="127">
        <v>46253</v>
      </c>
      <c r="E375" s="85"/>
      <c r="F375" s="85"/>
    </row>
    <row r="376" spans="1:6" x14ac:dyDescent="0.25">
      <c r="A376" s="85"/>
      <c r="B376" s="119" t="s">
        <v>892</v>
      </c>
      <c r="C376" s="126" t="s">
        <v>3538</v>
      </c>
      <c r="D376" s="127">
        <v>46253</v>
      </c>
      <c r="E376" s="85"/>
      <c r="F376" s="85"/>
    </row>
    <row r="377" spans="1:6" x14ac:dyDescent="0.25">
      <c r="A377" s="85"/>
      <c r="B377" s="119" t="s">
        <v>894</v>
      </c>
      <c r="C377" s="126" t="s">
        <v>3538</v>
      </c>
      <c r="D377" s="127">
        <v>46253</v>
      </c>
      <c r="E377" s="85"/>
      <c r="F377" s="85"/>
    </row>
    <row r="378" spans="1:6" x14ac:dyDescent="0.25">
      <c r="A378" s="85"/>
      <c r="B378" s="119" t="s">
        <v>1010</v>
      </c>
      <c r="C378" s="126" t="s">
        <v>3538</v>
      </c>
      <c r="D378" s="127">
        <v>46253</v>
      </c>
      <c r="E378" s="85"/>
      <c r="F378" s="85"/>
    </row>
    <row r="379" spans="1:6" x14ac:dyDescent="0.25">
      <c r="A379" s="85"/>
      <c r="B379" s="119" t="s">
        <v>1013</v>
      </c>
      <c r="C379" s="126" t="s">
        <v>3538</v>
      </c>
      <c r="D379" s="127">
        <v>46253</v>
      </c>
      <c r="E379" s="85"/>
      <c r="F379" s="85"/>
    </row>
    <row r="380" spans="1:6" x14ac:dyDescent="0.25">
      <c r="A380" s="85"/>
      <c r="B380" s="119" t="s">
        <v>1449</v>
      </c>
      <c r="C380" s="126" t="s">
        <v>3538</v>
      </c>
      <c r="D380" s="127">
        <v>46253</v>
      </c>
      <c r="E380" s="85"/>
      <c r="F380" s="85"/>
    </row>
    <row r="381" spans="1:6" x14ac:dyDescent="0.25">
      <c r="A381" s="85"/>
      <c r="B381" s="119" t="s">
        <v>682</v>
      </c>
      <c r="C381" s="126" t="s">
        <v>3538</v>
      </c>
      <c r="D381" s="127">
        <v>46254</v>
      </c>
      <c r="E381" s="85"/>
      <c r="F381" s="85"/>
    </row>
    <row r="382" spans="1:6" x14ac:dyDescent="0.25">
      <c r="A382" s="85"/>
      <c r="B382" s="119" t="s">
        <v>802</v>
      </c>
      <c r="C382" s="126" t="s">
        <v>3538</v>
      </c>
      <c r="D382" s="127">
        <v>46254</v>
      </c>
      <c r="E382" s="85"/>
      <c r="F382" s="85"/>
    </row>
    <row r="383" spans="1:6" x14ac:dyDescent="0.25">
      <c r="A383" s="85"/>
      <c r="B383" s="119" t="s">
        <v>813</v>
      </c>
      <c r="C383" s="126" t="s">
        <v>3538</v>
      </c>
      <c r="D383" s="127">
        <v>46254</v>
      </c>
      <c r="E383" s="85"/>
      <c r="F383" s="85"/>
    </row>
    <row r="384" spans="1:6" x14ac:dyDescent="0.25">
      <c r="A384" s="85"/>
      <c r="B384" s="119" t="s">
        <v>860</v>
      </c>
      <c r="C384" s="126" t="s">
        <v>3538</v>
      </c>
      <c r="D384" s="127">
        <v>46254</v>
      </c>
      <c r="E384" s="85"/>
      <c r="F384" s="85"/>
    </row>
    <row r="385" spans="1:6" x14ac:dyDescent="0.25">
      <c r="A385" s="85"/>
      <c r="B385" s="119" t="s">
        <v>868</v>
      </c>
      <c r="C385" s="126" t="s">
        <v>3538</v>
      </c>
      <c r="D385" s="127">
        <v>46254</v>
      </c>
      <c r="E385" s="85"/>
      <c r="F385" s="85"/>
    </row>
    <row r="386" spans="1:6" x14ac:dyDescent="0.25">
      <c r="A386" s="85"/>
      <c r="B386" s="119" t="s">
        <v>1016</v>
      </c>
      <c r="C386" s="126" t="s">
        <v>3538</v>
      </c>
      <c r="D386" s="127">
        <v>46254</v>
      </c>
      <c r="E386" s="85"/>
      <c r="F386" s="85"/>
    </row>
    <row r="387" spans="1:6" x14ac:dyDescent="0.25">
      <c r="A387" s="85"/>
      <c r="B387" s="119" t="s">
        <v>1082</v>
      </c>
      <c r="C387" s="126" t="s">
        <v>3538</v>
      </c>
      <c r="D387" s="127">
        <v>46254</v>
      </c>
      <c r="E387" s="85"/>
      <c r="F387" s="85"/>
    </row>
    <row r="388" spans="1:6" x14ac:dyDescent="0.25">
      <c r="A388" s="85"/>
      <c r="B388" s="119" t="s">
        <v>3547</v>
      </c>
      <c r="C388" s="126" t="s">
        <v>3538</v>
      </c>
      <c r="D388" s="127">
        <v>46254</v>
      </c>
      <c r="E388" s="85"/>
      <c r="F388" s="85"/>
    </row>
    <row r="389" spans="1:6" x14ac:dyDescent="0.25">
      <c r="A389" s="85"/>
      <c r="B389" s="119" t="s">
        <v>888</v>
      </c>
      <c r="C389" s="126" t="s">
        <v>3538</v>
      </c>
      <c r="D389" s="127">
        <v>46255</v>
      </c>
      <c r="E389" s="85"/>
      <c r="F389" s="85"/>
    </row>
    <row r="390" spans="1:6" x14ac:dyDescent="0.25">
      <c r="A390" s="85"/>
      <c r="B390" s="119" t="s">
        <v>898</v>
      </c>
      <c r="C390" s="126" t="s">
        <v>3538</v>
      </c>
      <c r="D390" s="127">
        <v>46255</v>
      </c>
      <c r="E390" s="85"/>
      <c r="F390" s="85"/>
    </row>
    <row r="391" spans="1:6" x14ac:dyDescent="0.25">
      <c r="A391" s="85"/>
      <c r="B391" s="119" t="s">
        <v>901</v>
      </c>
      <c r="C391" s="126" t="s">
        <v>3538</v>
      </c>
      <c r="D391" s="127">
        <v>46255</v>
      </c>
      <c r="E391" s="85"/>
      <c r="F391" s="85"/>
    </row>
    <row r="392" spans="1:6" x14ac:dyDescent="0.25">
      <c r="A392" s="85"/>
      <c r="B392" s="119" t="s">
        <v>903</v>
      </c>
      <c r="C392" s="126" t="s">
        <v>3538</v>
      </c>
      <c r="D392" s="127">
        <v>46255</v>
      </c>
      <c r="E392" s="85"/>
      <c r="F392" s="85"/>
    </row>
    <row r="393" spans="1:6" x14ac:dyDescent="0.25">
      <c r="A393" s="85"/>
      <c r="B393" s="119" t="s">
        <v>905</v>
      </c>
      <c r="C393" s="126" t="s">
        <v>3538</v>
      </c>
      <c r="D393" s="127">
        <v>46255</v>
      </c>
      <c r="E393" s="85"/>
      <c r="F393" s="85"/>
    </row>
    <row r="394" spans="1:6" x14ac:dyDescent="0.25">
      <c r="A394" s="85"/>
      <c r="B394" s="119" t="s">
        <v>907</v>
      </c>
      <c r="C394" s="126" t="s">
        <v>3538</v>
      </c>
      <c r="D394" s="127">
        <v>46255</v>
      </c>
      <c r="E394" s="85"/>
      <c r="F394" s="85"/>
    </row>
    <row r="395" spans="1:6" x14ac:dyDescent="0.25">
      <c r="A395" s="85"/>
      <c r="B395" s="119" t="s">
        <v>909</v>
      </c>
      <c r="C395" s="126" t="s">
        <v>3538</v>
      </c>
      <c r="D395" s="127">
        <v>46255</v>
      </c>
      <c r="E395" s="85"/>
      <c r="F395" s="85"/>
    </row>
    <row r="396" spans="1:6" x14ac:dyDescent="0.25">
      <c r="A396" s="85"/>
      <c r="B396" s="119" t="s">
        <v>911</v>
      </c>
      <c r="C396" s="126" t="s">
        <v>3538</v>
      </c>
      <c r="D396" s="127">
        <v>46255</v>
      </c>
      <c r="E396" s="85"/>
      <c r="F396" s="85"/>
    </row>
    <row r="397" spans="1:6" x14ac:dyDescent="0.25">
      <c r="A397" s="85"/>
      <c r="B397" s="119" t="s">
        <v>1052</v>
      </c>
      <c r="C397" s="126" t="s">
        <v>3538</v>
      </c>
      <c r="D397" s="127">
        <v>46255</v>
      </c>
      <c r="E397" s="85"/>
      <c r="F397" s="85"/>
    </row>
    <row r="398" spans="1:6" x14ac:dyDescent="0.25">
      <c r="A398" s="85"/>
      <c r="B398" s="119" t="s">
        <v>1060</v>
      </c>
      <c r="C398" s="126" t="s">
        <v>3538</v>
      </c>
      <c r="D398" s="127">
        <v>46255</v>
      </c>
      <c r="E398" s="85"/>
      <c r="F398" s="85"/>
    </row>
    <row r="399" spans="1:6" x14ac:dyDescent="0.25">
      <c r="A399" s="85"/>
      <c r="B399" s="119" t="s">
        <v>1063</v>
      </c>
      <c r="C399" s="126" t="s">
        <v>3538</v>
      </c>
      <c r="D399" s="127">
        <v>46255</v>
      </c>
      <c r="E399" s="85"/>
      <c r="F399" s="85"/>
    </row>
    <row r="400" spans="1:6" x14ac:dyDescent="0.25">
      <c r="A400" s="85"/>
      <c r="B400" s="119" t="s">
        <v>1066</v>
      </c>
      <c r="C400" s="126" t="s">
        <v>3538</v>
      </c>
      <c r="D400" s="127">
        <v>46255</v>
      </c>
      <c r="E400" s="85"/>
      <c r="F400" s="85"/>
    </row>
    <row r="401" spans="1:6" x14ac:dyDescent="0.25">
      <c r="A401" s="85"/>
      <c r="B401" s="119" t="s">
        <v>1070</v>
      </c>
      <c r="C401" s="126" t="s">
        <v>3538</v>
      </c>
      <c r="D401" s="127">
        <v>46255</v>
      </c>
      <c r="E401" s="85"/>
      <c r="F401" s="85"/>
    </row>
    <row r="402" spans="1:6" x14ac:dyDescent="0.25">
      <c r="A402" s="85"/>
      <c r="B402" s="119" t="s">
        <v>1072</v>
      </c>
      <c r="C402" s="126" t="s">
        <v>3538</v>
      </c>
      <c r="D402" s="127">
        <v>46255</v>
      </c>
      <c r="E402" s="85"/>
      <c r="F402" s="85"/>
    </row>
    <row r="403" spans="1:6" x14ac:dyDescent="0.25">
      <c r="A403" s="85"/>
      <c r="B403" s="119" t="s">
        <v>1074</v>
      </c>
      <c r="C403" s="126" t="s">
        <v>3538</v>
      </c>
      <c r="D403" s="127">
        <v>46255</v>
      </c>
      <c r="E403" s="85"/>
      <c r="F403" s="85"/>
    </row>
    <row r="404" spans="1:6" x14ac:dyDescent="0.25">
      <c r="A404" s="85"/>
      <c r="B404" s="119" t="s">
        <v>1078</v>
      </c>
      <c r="C404" s="126" t="s">
        <v>3538</v>
      </c>
      <c r="D404" s="127">
        <v>46255</v>
      </c>
      <c r="E404" s="85"/>
      <c r="F404" s="85"/>
    </row>
    <row r="405" spans="1:6" x14ac:dyDescent="0.25">
      <c r="A405" s="85"/>
      <c r="B405" s="119" t="s">
        <v>370</v>
      </c>
      <c r="C405" s="126" t="s">
        <v>3489</v>
      </c>
      <c r="D405" s="127">
        <v>46255</v>
      </c>
      <c r="E405" s="85"/>
      <c r="F405" s="85"/>
    </row>
    <row r="406" spans="1:6" x14ac:dyDescent="0.25">
      <c r="A406" s="85"/>
      <c r="B406" s="119" t="s">
        <v>375</v>
      </c>
      <c r="C406" s="126" t="s">
        <v>3489</v>
      </c>
      <c r="D406" s="127">
        <v>46255</v>
      </c>
      <c r="E406" s="85"/>
      <c r="F406" s="85"/>
    </row>
    <row r="407" spans="1:6" x14ac:dyDescent="0.25">
      <c r="A407" s="85"/>
      <c r="B407" s="119" t="s">
        <v>377</v>
      </c>
      <c r="C407" s="126" t="s">
        <v>3489</v>
      </c>
      <c r="D407" s="127">
        <v>46255</v>
      </c>
      <c r="E407" s="85"/>
      <c r="F407" s="85"/>
    </row>
    <row r="408" spans="1:6" x14ac:dyDescent="0.25">
      <c r="A408" s="85"/>
      <c r="B408" s="119" t="s">
        <v>379</v>
      </c>
      <c r="C408" s="126" t="s">
        <v>3489</v>
      </c>
      <c r="D408" s="127">
        <v>46255</v>
      </c>
      <c r="E408" s="85"/>
      <c r="F408" s="85"/>
    </row>
    <row r="409" spans="1:6" x14ac:dyDescent="0.25">
      <c r="A409" s="85"/>
      <c r="B409" s="119" t="s">
        <v>381</v>
      </c>
      <c r="C409" s="126" t="s">
        <v>3489</v>
      </c>
      <c r="D409" s="127">
        <v>46255</v>
      </c>
      <c r="E409" s="85"/>
      <c r="F409" s="85"/>
    </row>
    <row r="410" spans="1:6" x14ac:dyDescent="0.25">
      <c r="A410" s="85"/>
      <c r="B410" s="119" t="s">
        <v>383</v>
      </c>
      <c r="C410" s="126" t="s">
        <v>3489</v>
      </c>
      <c r="D410" s="127">
        <v>46255</v>
      </c>
      <c r="E410" s="85"/>
      <c r="F410" s="85"/>
    </row>
    <row r="411" spans="1:6" x14ac:dyDescent="0.25">
      <c r="A411" s="85"/>
      <c r="B411" s="119" t="s">
        <v>388</v>
      </c>
      <c r="C411" s="126" t="s">
        <v>3489</v>
      </c>
      <c r="D411" s="127">
        <v>46255</v>
      </c>
      <c r="E411" s="85"/>
      <c r="F411" s="85"/>
    </row>
    <row r="412" spans="1:6" x14ac:dyDescent="0.25">
      <c r="A412" s="85"/>
      <c r="B412" s="119" t="s">
        <v>390</v>
      </c>
      <c r="C412" s="126" t="s">
        <v>3489</v>
      </c>
      <c r="D412" s="127">
        <v>46255</v>
      </c>
      <c r="E412" s="85"/>
      <c r="F412" s="85"/>
    </row>
    <row r="413" spans="1:6" x14ac:dyDescent="0.25">
      <c r="A413" s="85"/>
      <c r="B413" s="119" t="s">
        <v>392</v>
      </c>
      <c r="C413" s="126" t="s">
        <v>3489</v>
      </c>
      <c r="D413" s="127">
        <v>46255</v>
      </c>
      <c r="E413" s="85"/>
      <c r="F413" s="85"/>
    </row>
    <row r="414" spans="1:6" x14ac:dyDescent="0.25">
      <c r="A414" s="85"/>
      <c r="B414" s="119" t="s">
        <v>664</v>
      </c>
      <c r="C414" s="126" t="s">
        <v>3538</v>
      </c>
      <c r="D414" s="127">
        <v>46258</v>
      </c>
      <c r="E414" s="85"/>
      <c r="F414" s="85"/>
    </row>
    <row r="415" spans="1:6" x14ac:dyDescent="0.25">
      <c r="A415" s="85"/>
      <c r="B415" s="119" t="s">
        <v>669</v>
      </c>
      <c r="C415" s="126" t="s">
        <v>3538</v>
      </c>
      <c r="D415" s="127">
        <v>46258</v>
      </c>
      <c r="E415" s="85"/>
      <c r="F415" s="85"/>
    </row>
    <row r="416" spans="1:6" x14ac:dyDescent="0.25">
      <c r="A416" s="85"/>
      <c r="B416" s="119" t="s">
        <v>671</v>
      </c>
      <c r="C416" s="126" t="s">
        <v>3538</v>
      </c>
      <c r="D416" s="127">
        <v>46258</v>
      </c>
      <c r="E416" s="85"/>
      <c r="F416" s="85"/>
    </row>
    <row r="417" spans="1:6" x14ac:dyDescent="0.25">
      <c r="A417" s="85"/>
      <c r="B417" s="119" t="s">
        <v>732</v>
      </c>
      <c r="C417" s="126" t="s">
        <v>3538</v>
      </c>
      <c r="D417" s="127">
        <v>46258</v>
      </c>
      <c r="E417" s="85"/>
      <c r="F417" s="85"/>
    </row>
    <row r="418" spans="1:6" x14ac:dyDescent="0.25">
      <c r="A418" s="85"/>
      <c r="B418" s="119" t="s">
        <v>802</v>
      </c>
      <c r="C418" s="126" t="s">
        <v>3538</v>
      </c>
      <c r="D418" s="127">
        <v>46258</v>
      </c>
      <c r="E418" s="85"/>
      <c r="F418" s="85"/>
    </row>
    <row r="419" spans="1:6" x14ac:dyDescent="0.25">
      <c r="A419" s="85"/>
      <c r="B419" s="119" t="s">
        <v>1044</v>
      </c>
      <c r="C419" s="126" t="s">
        <v>3538</v>
      </c>
      <c r="D419" s="127">
        <v>46258</v>
      </c>
      <c r="E419" s="85"/>
      <c r="F419" s="85"/>
    </row>
    <row r="420" spans="1:6" x14ac:dyDescent="0.25">
      <c r="A420" s="85"/>
      <c r="B420" s="119" t="s">
        <v>1971</v>
      </c>
      <c r="C420" s="126" t="s">
        <v>3538</v>
      </c>
      <c r="D420" s="127">
        <v>46258</v>
      </c>
      <c r="E420" s="85"/>
      <c r="F420" s="85"/>
    </row>
    <row r="421" spans="1:6" x14ac:dyDescent="0.25">
      <c r="A421" s="85"/>
      <c r="B421" s="119" t="s">
        <v>1986</v>
      </c>
      <c r="C421" s="126" t="s">
        <v>3538</v>
      </c>
      <c r="D421" s="127">
        <v>46258</v>
      </c>
      <c r="E421" s="85"/>
      <c r="F421" s="85"/>
    </row>
    <row r="422" spans="1:6" x14ac:dyDescent="0.25">
      <c r="A422" s="85"/>
      <c r="B422" s="119" t="s">
        <v>2244</v>
      </c>
      <c r="C422" s="126" t="s">
        <v>3538</v>
      </c>
      <c r="D422" s="127">
        <v>46258</v>
      </c>
      <c r="E422" s="85"/>
      <c r="F422" s="85"/>
    </row>
    <row r="423" spans="1:6" x14ac:dyDescent="0.25">
      <c r="A423" s="85"/>
      <c r="B423" s="119" t="s">
        <v>627</v>
      </c>
      <c r="C423" s="126" t="s">
        <v>3538</v>
      </c>
      <c r="D423" s="127">
        <v>46259</v>
      </c>
      <c r="E423" s="85"/>
      <c r="F423" s="85"/>
    </row>
    <row r="424" spans="1:6" x14ac:dyDescent="0.25">
      <c r="A424" s="85"/>
      <c r="B424" s="119" t="s">
        <v>741</v>
      </c>
      <c r="C424" s="126" t="s">
        <v>3538</v>
      </c>
      <c r="D424" s="127">
        <v>46259</v>
      </c>
      <c r="E424" s="85"/>
      <c r="F424" s="85"/>
    </row>
    <row r="425" spans="1:6" x14ac:dyDescent="0.25">
      <c r="A425" s="85"/>
      <c r="B425" s="119" t="s">
        <v>746</v>
      </c>
      <c r="C425" s="126" t="s">
        <v>3538</v>
      </c>
      <c r="D425" s="127">
        <v>46259</v>
      </c>
      <c r="E425" s="85"/>
      <c r="F425" s="85"/>
    </row>
    <row r="426" spans="1:6" x14ac:dyDescent="0.25">
      <c r="A426" s="85"/>
      <c r="B426" s="119" t="s">
        <v>857</v>
      </c>
      <c r="C426" s="126" t="s">
        <v>3538</v>
      </c>
      <c r="D426" s="127">
        <v>46259</v>
      </c>
      <c r="E426" s="85"/>
      <c r="F426" s="85"/>
    </row>
    <row r="427" spans="1:6" x14ac:dyDescent="0.25">
      <c r="A427" s="85"/>
      <c r="B427" s="119" t="s">
        <v>960</v>
      </c>
      <c r="C427" s="126" t="s">
        <v>3538</v>
      </c>
      <c r="D427" s="127">
        <v>46259</v>
      </c>
      <c r="E427" s="85"/>
      <c r="F427" s="85"/>
    </row>
    <row r="428" spans="1:6" x14ac:dyDescent="0.25">
      <c r="A428" s="85"/>
      <c r="B428" s="119" t="s">
        <v>973</v>
      </c>
      <c r="C428" s="126" t="s">
        <v>3538</v>
      </c>
      <c r="D428" s="127">
        <v>46259</v>
      </c>
      <c r="E428" s="85"/>
      <c r="F428" s="85"/>
    </row>
    <row r="429" spans="1:6" x14ac:dyDescent="0.25">
      <c r="A429" s="85"/>
      <c r="B429" s="119" t="s">
        <v>1057</v>
      </c>
      <c r="C429" s="126" t="s">
        <v>3538</v>
      </c>
      <c r="D429" s="127">
        <v>46259</v>
      </c>
      <c r="E429" s="85"/>
      <c r="F429" s="85"/>
    </row>
    <row r="430" spans="1:6" x14ac:dyDescent="0.25">
      <c r="A430" s="85"/>
      <c r="B430" s="119" t="s">
        <v>1068</v>
      </c>
      <c r="C430" s="126" t="s">
        <v>3538</v>
      </c>
      <c r="D430" s="127">
        <v>46259</v>
      </c>
      <c r="E430" s="85"/>
      <c r="F430" s="85"/>
    </row>
    <row r="431" spans="1:6" x14ac:dyDescent="0.25">
      <c r="A431" s="85"/>
      <c r="B431" s="119" t="s">
        <v>649</v>
      </c>
      <c r="C431" s="116" t="s">
        <v>3548</v>
      </c>
      <c r="D431" s="127">
        <v>46259</v>
      </c>
      <c r="E431" s="85"/>
      <c r="F431" s="85"/>
    </row>
    <row r="432" spans="1:6" x14ac:dyDescent="0.25">
      <c r="A432" s="85"/>
      <c r="B432" s="119" t="s">
        <v>709</v>
      </c>
      <c r="C432" s="116" t="s">
        <v>3548</v>
      </c>
      <c r="D432" s="127">
        <v>46259</v>
      </c>
      <c r="E432" s="85"/>
      <c r="F432" s="85"/>
    </row>
    <row r="433" spans="1:6" x14ac:dyDescent="0.25">
      <c r="A433" s="85"/>
      <c r="B433" s="119" t="s">
        <v>713</v>
      </c>
      <c r="C433" s="116" t="s">
        <v>3548</v>
      </c>
      <c r="D433" s="127">
        <v>46259</v>
      </c>
      <c r="E433" s="85"/>
      <c r="F433" s="85"/>
    </row>
    <row r="434" spans="1:6" x14ac:dyDescent="0.25">
      <c r="A434" s="85"/>
      <c r="B434" s="119" t="s">
        <v>715</v>
      </c>
      <c r="C434" s="116" t="s">
        <v>3548</v>
      </c>
      <c r="D434" s="127">
        <v>46259</v>
      </c>
      <c r="E434" s="85"/>
      <c r="F434" s="85"/>
    </row>
    <row r="435" spans="1:6" x14ac:dyDescent="0.25">
      <c r="A435" s="85"/>
      <c r="B435" s="119" t="s">
        <v>717</v>
      </c>
      <c r="C435" s="116" t="s">
        <v>3548</v>
      </c>
      <c r="D435" s="127">
        <v>46259</v>
      </c>
      <c r="E435" s="85"/>
      <c r="F435" s="85"/>
    </row>
    <row r="436" spans="1:6" x14ac:dyDescent="0.25">
      <c r="A436" s="85"/>
      <c r="B436" s="119" t="s">
        <v>1466</v>
      </c>
      <c r="C436" s="126" t="s">
        <v>3538</v>
      </c>
      <c r="D436" s="127">
        <v>46259</v>
      </c>
      <c r="E436" s="85"/>
      <c r="F436" s="85"/>
    </row>
    <row r="437" spans="1:6" x14ac:dyDescent="0.25">
      <c r="A437" s="85"/>
      <c r="B437" s="119" t="s">
        <v>1469</v>
      </c>
      <c r="C437" s="126" t="s">
        <v>3538</v>
      </c>
      <c r="D437" s="127">
        <v>46259</v>
      </c>
      <c r="E437" s="85"/>
      <c r="F437" s="85"/>
    </row>
    <row r="438" spans="1:6" x14ac:dyDescent="0.25">
      <c r="A438" s="85"/>
      <c r="B438" s="119" t="s">
        <v>1471</v>
      </c>
      <c r="C438" s="126" t="s">
        <v>3538</v>
      </c>
      <c r="D438" s="127">
        <v>46259</v>
      </c>
      <c r="E438" s="85"/>
      <c r="F438" s="85"/>
    </row>
    <row r="439" spans="1:6" x14ac:dyDescent="0.25">
      <c r="A439" s="85"/>
      <c r="B439" s="119" t="s">
        <v>627</v>
      </c>
      <c r="C439" s="126" t="s">
        <v>3538</v>
      </c>
      <c r="D439" s="127">
        <v>46260</v>
      </c>
      <c r="E439" s="85"/>
      <c r="F439" s="85"/>
    </row>
    <row r="440" spans="1:6" x14ac:dyDescent="0.25">
      <c r="A440" s="85"/>
      <c r="B440" s="119" t="s">
        <v>709</v>
      </c>
      <c r="C440" s="126" t="s">
        <v>3538</v>
      </c>
      <c r="D440" s="127">
        <v>46260</v>
      </c>
      <c r="E440" s="85"/>
      <c r="F440" s="85"/>
    </row>
    <row r="441" spans="1:6" x14ac:dyDescent="0.25">
      <c r="A441" s="85"/>
      <c r="B441" s="119" t="s">
        <v>802</v>
      </c>
      <c r="C441" s="126" t="s">
        <v>3538</v>
      </c>
      <c r="D441" s="127">
        <v>46260</v>
      </c>
      <c r="E441" s="85"/>
      <c r="F441" s="85"/>
    </row>
    <row r="442" spans="1:6" x14ac:dyDescent="0.25">
      <c r="A442" s="85"/>
      <c r="B442" s="119" t="s">
        <v>809</v>
      </c>
      <c r="C442" s="126" t="s">
        <v>3538</v>
      </c>
      <c r="D442" s="127">
        <v>46260</v>
      </c>
      <c r="E442" s="85"/>
      <c r="F442" s="85"/>
    </row>
    <row r="443" spans="1:6" x14ac:dyDescent="0.25">
      <c r="A443" s="85"/>
      <c r="B443" s="119" t="s">
        <v>370</v>
      </c>
      <c r="C443" s="126" t="s">
        <v>3538</v>
      </c>
      <c r="D443" s="127">
        <v>46260</v>
      </c>
      <c r="E443" s="85"/>
      <c r="F443" s="85">
        <v>1</v>
      </c>
    </row>
    <row r="444" spans="1:6" x14ac:dyDescent="0.25">
      <c r="A444" s="85"/>
      <c r="B444" s="119" t="s">
        <v>375</v>
      </c>
      <c r="C444" s="126" t="s">
        <v>3538</v>
      </c>
      <c r="D444" s="127">
        <v>46260</v>
      </c>
      <c r="E444" s="85"/>
      <c r="F444" s="85">
        <v>1</v>
      </c>
    </row>
    <row r="445" spans="1:6" x14ac:dyDescent="0.25">
      <c r="A445" s="85"/>
      <c r="B445" s="119" t="s">
        <v>377</v>
      </c>
      <c r="C445" s="126" t="s">
        <v>3538</v>
      </c>
      <c r="D445" s="127">
        <v>46260</v>
      </c>
      <c r="E445" s="85"/>
      <c r="F445" s="85">
        <v>1</v>
      </c>
    </row>
    <row r="446" spans="1:6" x14ac:dyDescent="0.25">
      <c r="A446" s="85"/>
      <c r="B446" s="119" t="s">
        <v>379</v>
      </c>
      <c r="C446" s="126" t="s">
        <v>3538</v>
      </c>
      <c r="D446" s="127">
        <v>46260</v>
      </c>
      <c r="E446" s="85"/>
      <c r="F446" s="85">
        <v>1</v>
      </c>
    </row>
    <row r="447" spans="1:6" x14ac:dyDescent="0.25">
      <c r="A447" s="85"/>
      <c r="B447" s="119" t="s">
        <v>381</v>
      </c>
      <c r="C447" s="126" t="s">
        <v>3538</v>
      </c>
      <c r="D447" s="127">
        <v>46260</v>
      </c>
      <c r="E447" s="85"/>
      <c r="F447" s="85">
        <v>1</v>
      </c>
    </row>
    <row r="448" spans="1:6" x14ac:dyDescent="0.25">
      <c r="A448" s="85"/>
      <c r="B448" s="119" t="s">
        <v>383</v>
      </c>
      <c r="C448" s="126" t="s">
        <v>3538</v>
      </c>
      <c r="D448" s="127">
        <v>46260</v>
      </c>
      <c r="E448" s="85"/>
      <c r="F448" s="85">
        <v>1</v>
      </c>
    </row>
    <row r="449" spans="1:6" x14ac:dyDescent="0.25">
      <c r="A449" s="85"/>
      <c r="B449" s="119" t="s">
        <v>388</v>
      </c>
      <c r="C449" s="126" t="s">
        <v>3538</v>
      </c>
      <c r="D449" s="127">
        <v>46260</v>
      </c>
      <c r="E449" s="85"/>
      <c r="F449" s="85">
        <v>1</v>
      </c>
    </row>
    <row r="450" spans="1:6" x14ac:dyDescent="0.25">
      <c r="A450" s="85"/>
      <c r="B450" s="119" t="s">
        <v>390</v>
      </c>
      <c r="C450" s="126" t="s">
        <v>3538</v>
      </c>
      <c r="D450" s="127">
        <v>46260</v>
      </c>
      <c r="E450" s="85"/>
      <c r="F450" s="85">
        <v>1</v>
      </c>
    </row>
    <row r="451" spans="1:6" x14ac:dyDescent="0.25">
      <c r="A451" s="85"/>
      <c r="B451" s="119" t="s">
        <v>392</v>
      </c>
      <c r="C451" s="126" t="s">
        <v>3538</v>
      </c>
      <c r="D451" s="127">
        <v>46260</v>
      </c>
      <c r="E451" s="85"/>
      <c r="F451" s="85">
        <v>1</v>
      </c>
    </row>
    <row r="452" spans="1:6" x14ac:dyDescent="0.25">
      <c r="A452" s="85"/>
      <c r="B452" s="119" t="s">
        <v>1680</v>
      </c>
      <c r="C452" s="126" t="s">
        <v>3538</v>
      </c>
      <c r="D452" s="127">
        <v>46260</v>
      </c>
      <c r="E452" s="85"/>
      <c r="F452" s="85">
        <v>1</v>
      </c>
    </row>
    <row r="453" spans="1:6" x14ac:dyDescent="0.25">
      <c r="A453" s="85"/>
      <c r="B453" s="119" t="s">
        <v>703</v>
      </c>
      <c r="C453" s="126" t="s">
        <v>3538</v>
      </c>
      <c r="D453" s="127">
        <v>46261</v>
      </c>
      <c r="E453" s="85"/>
      <c r="F453" s="85"/>
    </row>
    <row r="454" spans="1:6" x14ac:dyDescent="0.25">
      <c r="A454" s="85"/>
      <c r="B454" s="119" t="s">
        <v>732</v>
      </c>
      <c r="C454" s="126" t="s">
        <v>3538</v>
      </c>
      <c r="D454" s="127">
        <v>46261</v>
      </c>
      <c r="E454" s="85"/>
      <c r="F454" s="85"/>
    </row>
    <row r="455" spans="1:6" x14ac:dyDescent="0.25">
      <c r="A455" s="85"/>
      <c r="B455" s="119" t="s">
        <v>743</v>
      </c>
      <c r="C455" s="126" t="s">
        <v>3538</v>
      </c>
      <c r="D455" s="127">
        <v>46261</v>
      </c>
      <c r="E455" s="85"/>
      <c r="F455" s="85"/>
    </row>
    <row r="456" spans="1:6" x14ac:dyDescent="0.25">
      <c r="A456" s="85"/>
      <c r="B456" s="119" t="s">
        <v>746</v>
      </c>
      <c r="C456" s="126" t="s">
        <v>3538</v>
      </c>
      <c r="D456" s="127">
        <v>46261</v>
      </c>
      <c r="E456" s="85"/>
      <c r="F456" s="85"/>
    </row>
    <row r="457" spans="1:6" x14ac:dyDescent="0.25">
      <c r="A457" s="85"/>
      <c r="B457" s="119" t="s">
        <v>798</v>
      </c>
      <c r="C457" s="126" t="s">
        <v>3538</v>
      </c>
      <c r="D457" s="127">
        <v>46261</v>
      </c>
      <c r="E457" s="85"/>
      <c r="F457" s="85"/>
    </row>
    <row r="458" spans="1:6" x14ac:dyDescent="0.25">
      <c r="A458" s="85"/>
      <c r="B458" s="119" t="s">
        <v>813</v>
      </c>
      <c r="C458" s="126" t="s">
        <v>3538</v>
      </c>
      <c r="D458" s="127">
        <v>46261</v>
      </c>
      <c r="E458" s="85"/>
      <c r="F458" s="85"/>
    </row>
    <row r="459" spans="1:6" x14ac:dyDescent="0.25">
      <c r="A459" s="85"/>
      <c r="B459" s="119" t="s">
        <v>888</v>
      </c>
      <c r="C459" s="126" t="s">
        <v>3538</v>
      </c>
      <c r="D459" s="127">
        <v>46261</v>
      </c>
      <c r="E459" s="85"/>
      <c r="F459" s="85"/>
    </row>
    <row r="460" spans="1:6" x14ac:dyDescent="0.25">
      <c r="A460" s="85"/>
      <c r="B460" s="119" t="s">
        <v>892</v>
      </c>
      <c r="C460" s="126" t="s">
        <v>3538</v>
      </c>
      <c r="D460" s="127">
        <v>46261</v>
      </c>
      <c r="E460" s="85"/>
      <c r="F460" s="85"/>
    </row>
    <row r="461" spans="1:6" x14ac:dyDescent="0.25">
      <c r="A461" s="85"/>
      <c r="B461" s="119" t="s">
        <v>894</v>
      </c>
      <c r="C461" s="126" t="s">
        <v>3538</v>
      </c>
      <c r="D461" s="127">
        <v>46261</v>
      </c>
      <c r="E461" s="85"/>
      <c r="F461" s="85"/>
    </row>
    <row r="462" spans="1:6" x14ac:dyDescent="0.25">
      <c r="A462" s="85"/>
      <c r="B462" s="119" t="s">
        <v>915</v>
      </c>
      <c r="C462" s="126" t="s">
        <v>3538</v>
      </c>
      <c r="D462" s="127">
        <v>46261</v>
      </c>
      <c r="E462" s="85"/>
      <c r="F462" s="85"/>
    </row>
    <row r="463" spans="1:6" x14ac:dyDescent="0.25">
      <c r="A463" s="85"/>
      <c r="B463" s="119" t="s">
        <v>918</v>
      </c>
      <c r="C463" s="126" t="s">
        <v>3538</v>
      </c>
      <c r="D463" s="127">
        <v>46261</v>
      </c>
      <c r="E463" s="85"/>
      <c r="F463" s="85"/>
    </row>
    <row r="464" spans="1:6" x14ac:dyDescent="0.25">
      <c r="A464" s="85"/>
      <c r="B464" s="119" t="s">
        <v>986</v>
      </c>
      <c r="C464" s="126" t="s">
        <v>3538</v>
      </c>
      <c r="D464" s="127">
        <v>46261</v>
      </c>
      <c r="E464" s="85"/>
      <c r="F464" s="85"/>
    </row>
    <row r="465" spans="1:6" x14ac:dyDescent="0.25">
      <c r="A465" s="85"/>
      <c r="B465" s="119" t="s">
        <v>989</v>
      </c>
      <c r="C465" s="126" t="s">
        <v>3538</v>
      </c>
      <c r="D465" s="127">
        <v>46261</v>
      </c>
      <c r="E465" s="85"/>
      <c r="F465" s="85"/>
    </row>
    <row r="466" spans="1:6" x14ac:dyDescent="0.25">
      <c r="A466" s="85"/>
      <c r="B466" s="119" t="s">
        <v>992</v>
      </c>
      <c r="C466" s="126" t="s">
        <v>3538</v>
      </c>
      <c r="D466" s="127">
        <v>46261</v>
      </c>
      <c r="E466" s="85"/>
      <c r="F466" s="85"/>
    </row>
    <row r="467" spans="1:6" x14ac:dyDescent="0.25">
      <c r="A467" s="85"/>
      <c r="B467" s="119" t="s">
        <v>1007</v>
      </c>
      <c r="C467" s="126" t="s">
        <v>3538</v>
      </c>
      <c r="D467" s="127">
        <v>46261</v>
      </c>
      <c r="E467" s="85"/>
      <c r="F467" s="85"/>
    </row>
    <row r="468" spans="1:6" x14ac:dyDescent="0.25">
      <c r="A468" s="85"/>
      <c r="B468" s="119" t="s">
        <v>1013</v>
      </c>
      <c r="C468" s="126" t="s">
        <v>3538</v>
      </c>
      <c r="D468" s="127">
        <v>46261</v>
      </c>
      <c r="E468" s="85"/>
      <c r="F468" s="85"/>
    </row>
    <row r="469" spans="1:6" x14ac:dyDescent="0.25">
      <c r="A469" s="85"/>
      <c r="B469" s="119" t="s">
        <v>1449</v>
      </c>
      <c r="C469" s="126" t="s">
        <v>3538</v>
      </c>
      <c r="D469" s="127">
        <v>46261</v>
      </c>
      <c r="E469" s="85"/>
      <c r="F469" s="85">
        <v>1</v>
      </c>
    </row>
    <row r="470" spans="1:6" x14ac:dyDescent="0.25">
      <c r="A470" s="85"/>
      <c r="B470" s="119" t="s">
        <v>1971</v>
      </c>
      <c r="C470" s="126" t="s">
        <v>3538</v>
      </c>
      <c r="D470" s="127">
        <v>46261</v>
      </c>
      <c r="E470" s="85"/>
      <c r="F470" s="85">
        <v>1</v>
      </c>
    </row>
    <row r="471" spans="1:6" x14ac:dyDescent="0.25">
      <c r="A471" s="85"/>
      <c r="B471" s="116" t="s">
        <v>868</v>
      </c>
      <c r="C471" s="126" t="s">
        <v>3538</v>
      </c>
      <c r="D471" s="127">
        <v>46262</v>
      </c>
      <c r="E471" s="85"/>
      <c r="F471" s="85"/>
    </row>
    <row r="472" spans="1:6" x14ac:dyDescent="0.25">
      <c r="A472" s="85"/>
      <c r="B472" s="116" t="s">
        <v>709</v>
      </c>
      <c r="C472" s="126" t="s">
        <v>3538</v>
      </c>
      <c r="D472" s="127">
        <v>46262</v>
      </c>
      <c r="E472" s="85"/>
      <c r="F472" s="85"/>
    </row>
    <row r="473" spans="1:6" x14ac:dyDescent="0.25">
      <c r="A473" s="85"/>
      <c r="B473" s="116" t="s">
        <v>1971</v>
      </c>
      <c r="C473" s="126" t="s">
        <v>3538</v>
      </c>
      <c r="D473" s="127">
        <v>46262</v>
      </c>
      <c r="E473" s="85"/>
      <c r="F473" s="85">
        <v>1</v>
      </c>
    </row>
    <row r="474" spans="1:6" x14ac:dyDescent="0.25">
      <c r="A474" s="85"/>
      <c r="B474" s="116" t="s">
        <v>1466</v>
      </c>
      <c r="C474" s="126" t="s">
        <v>3538</v>
      </c>
      <c r="D474" s="127">
        <v>46262</v>
      </c>
      <c r="E474" s="85"/>
      <c r="F474" s="85">
        <v>1</v>
      </c>
    </row>
    <row r="475" spans="1:6" x14ac:dyDescent="0.25">
      <c r="A475" s="85"/>
      <c r="B475" s="116" t="s">
        <v>2300</v>
      </c>
      <c r="C475" s="126" t="s">
        <v>3538</v>
      </c>
      <c r="D475" s="127">
        <v>46262</v>
      </c>
      <c r="E475" s="85"/>
      <c r="F475" s="85">
        <v>1</v>
      </c>
    </row>
    <row r="476" spans="1:6" x14ac:dyDescent="0.25">
      <c r="A476" s="85"/>
      <c r="B476" s="116" t="s">
        <v>2725</v>
      </c>
      <c r="C476" s="126" t="s">
        <v>3538</v>
      </c>
      <c r="D476" s="127">
        <v>46262</v>
      </c>
      <c r="E476" s="85"/>
      <c r="F476" s="85">
        <v>1</v>
      </c>
    </row>
    <row r="477" spans="1:6" x14ac:dyDescent="0.25">
      <c r="A477" s="85"/>
      <c r="B477" s="116" t="s">
        <v>2733</v>
      </c>
      <c r="C477" s="126" t="s">
        <v>3538</v>
      </c>
      <c r="D477" s="127">
        <v>46262</v>
      </c>
      <c r="E477" s="85"/>
      <c r="F477" s="85">
        <v>1</v>
      </c>
    </row>
    <row r="478" spans="1:6" x14ac:dyDescent="0.25">
      <c r="A478" s="85"/>
      <c r="B478" s="116" t="s">
        <v>759</v>
      </c>
      <c r="C478" s="126" t="s">
        <v>3538</v>
      </c>
      <c r="D478" s="127">
        <v>46262</v>
      </c>
      <c r="E478" s="85"/>
      <c r="F478" s="85"/>
    </row>
    <row r="479" spans="1:6" x14ac:dyDescent="0.25">
      <c r="A479" s="85"/>
      <c r="B479" s="116" t="s">
        <v>802</v>
      </c>
      <c r="C479" s="126" t="s">
        <v>3538</v>
      </c>
      <c r="D479" s="127">
        <v>46262</v>
      </c>
      <c r="E479" s="85"/>
      <c r="F479" s="85"/>
    </row>
    <row r="480" spans="1:6" x14ac:dyDescent="0.25">
      <c r="A480" s="85"/>
      <c r="B480" s="116" t="s">
        <v>813</v>
      </c>
      <c r="C480" s="126" t="s">
        <v>3538</v>
      </c>
      <c r="D480" s="127">
        <v>46262</v>
      </c>
      <c r="E480" s="85"/>
      <c r="F480" s="85"/>
    </row>
    <row r="481" spans="1:6" x14ac:dyDescent="0.25">
      <c r="A481" s="85"/>
      <c r="B481" s="116" t="s">
        <v>831</v>
      </c>
      <c r="C481" s="126" t="s">
        <v>3538</v>
      </c>
      <c r="D481" s="127">
        <v>46262</v>
      </c>
      <c r="E481" s="85"/>
      <c r="F481" s="85"/>
    </row>
    <row r="482" spans="1:6" x14ac:dyDescent="0.25">
      <c r="A482" s="85"/>
      <c r="B482" s="116" t="s">
        <v>627</v>
      </c>
      <c r="C482" s="126" t="s">
        <v>3538</v>
      </c>
      <c r="D482" s="127">
        <v>46263</v>
      </c>
      <c r="E482" s="85"/>
      <c r="F482" s="85"/>
    </row>
    <row r="483" spans="1:6" x14ac:dyDescent="0.25">
      <c r="A483" s="85"/>
      <c r="B483" s="116" t="s">
        <v>635</v>
      </c>
      <c r="C483" s="126" t="s">
        <v>3538</v>
      </c>
      <c r="D483" s="127">
        <v>46263</v>
      </c>
      <c r="E483" s="85"/>
      <c r="F483" s="85"/>
    </row>
    <row r="484" spans="1:6" x14ac:dyDescent="0.25">
      <c r="A484" s="85"/>
      <c r="B484" s="116" t="s">
        <v>654</v>
      </c>
      <c r="C484" s="126" t="s">
        <v>3538</v>
      </c>
      <c r="D484" s="127">
        <v>46263</v>
      </c>
      <c r="E484" s="85"/>
      <c r="F484" s="85"/>
    </row>
    <row r="485" spans="1:6" x14ac:dyDescent="0.25">
      <c r="A485" s="85"/>
      <c r="B485" s="116" t="s">
        <v>658</v>
      </c>
      <c r="C485" s="126" t="s">
        <v>3538</v>
      </c>
      <c r="D485" s="127">
        <v>46263</v>
      </c>
      <c r="E485" s="85"/>
      <c r="F485" s="85"/>
    </row>
    <row r="486" spans="1:6" x14ac:dyDescent="0.25">
      <c r="A486" s="85"/>
      <c r="B486" s="116" t="s">
        <v>660</v>
      </c>
      <c r="C486" s="126" t="s">
        <v>3538</v>
      </c>
      <c r="D486" s="127">
        <v>46263</v>
      </c>
      <c r="E486" s="85"/>
      <c r="F486" s="85"/>
    </row>
    <row r="487" spans="1:6" x14ac:dyDescent="0.25">
      <c r="A487" s="85"/>
      <c r="B487" s="116" t="s">
        <v>732</v>
      </c>
      <c r="C487" s="126" t="s">
        <v>3538</v>
      </c>
      <c r="D487" s="127">
        <v>46263</v>
      </c>
      <c r="E487" s="85"/>
      <c r="F487" s="85"/>
    </row>
    <row r="488" spans="1:6" x14ac:dyDescent="0.25">
      <c r="A488" s="85"/>
      <c r="B488" s="116" t="s">
        <v>771</v>
      </c>
      <c r="C488" s="126" t="s">
        <v>3538</v>
      </c>
      <c r="D488" s="127">
        <v>46263</v>
      </c>
      <c r="E488" s="85"/>
      <c r="F488" s="85"/>
    </row>
    <row r="489" spans="1:6" x14ac:dyDescent="0.25">
      <c r="A489" s="85"/>
      <c r="B489" s="116" t="s">
        <v>778</v>
      </c>
      <c r="C489" s="126" t="s">
        <v>3538</v>
      </c>
      <c r="D489" s="127">
        <v>46263</v>
      </c>
      <c r="E489" s="85"/>
      <c r="F489" s="85"/>
    </row>
    <row r="490" spans="1:6" x14ac:dyDescent="0.25">
      <c r="A490" s="85"/>
      <c r="B490" s="116" t="s">
        <v>780</v>
      </c>
      <c r="C490" s="126" t="s">
        <v>3538</v>
      </c>
      <c r="D490" s="127">
        <v>46263</v>
      </c>
      <c r="E490" s="85"/>
      <c r="F490" s="85"/>
    </row>
    <row r="491" spans="1:6" x14ac:dyDescent="0.25">
      <c r="A491" s="85"/>
      <c r="B491" s="116" t="s">
        <v>782</v>
      </c>
      <c r="C491" s="126" t="s">
        <v>3538</v>
      </c>
      <c r="D491" s="127">
        <v>46263</v>
      </c>
      <c r="E491" s="85"/>
      <c r="F491" s="85"/>
    </row>
    <row r="492" spans="1:6" x14ac:dyDescent="0.25">
      <c r="A492" s="85"/>
      <c r="B492" s="116" t="s">
        <v>784</v>
      </c>
      <c r="C492" s="126" t="s">
        <v>3538</v>
      </c>
      <c r="D492" s="127">
        <v>46263</v>
      </c>
      <c r="E492" s="85"/>
      <c r="F492" s="85"/>
    </row>
    <row r="493" spans="1:6" x14ac:dyDescent="0.25">
      <c r="A493" s="85"/>
      <c r="B493" s="116" t="s">
        <v>786</v>
      </c>
      <c r="C493" s="126" t="s">
        <v>3538</v>
      </c>
      <c r="D493" s="127">
        <v>46263</v>
      </c>
      <c r="E493" s="85"/>
      <c r="F493" s="85"/>
    </row>
    <row r="494" spans="1:6" x14ac:dyDescent="0.25">
      <c r="A494" s="85"/>
      <c r="B494" s="116" t="s">
        <v>798</v>
      </c>
      <c r="C494" s="126" t="s">
        <v>3538</v>
      </c>
      <c r="D494" s="127">
        <v>46263</v>
      </c>
      <c r="E494" s="85"/>
      <c r="F494" s="85"/>
    </row>
    <row r="495" spans="1:6" x14ac:dyDescent="0.25">
      <c r="A495" s="85"/>
      <c r="B495" s="116" t="s">
        <v>809</v>
      </c>
      <c r="C495" s="126" t="s">
        <v>3538</v>
      </c>
      <c r="D495" s="127">
        <v>46263</v>
      </c>
      <c r="E495" s="85"/>
      <c r="F495" s="85"/>
    </row>
    <row r="496" spans="1:6" x14ac:dyDescent="0.25">
      <c r="A496" s="85"/>
      <c r="B496" s="116" t="s">
        <v>915</v>
      </c>
      <c r="C496" s="126" t="s">
        <v>3538</v>
      </c>
      <c r="D496" s="127">
        <v>46263</v>
      </c>
      <c r="E496" s="85"/>
      <c r="F496" s="85"/>
    </row>
    <row r="497" spans="1:6" x14ac:dyDescent="0.25">
      <c r="A497" s="85"/>
      <c r="B497" s="116" t="s">
        <v>922</v>
      </c>
      <c r="C497" s="126" t="s">
        <v>3538</v>
      </c>
      <c r="D497" s="127">
        <v>46263</v>
      </c>
      <c r="E497" s="85"/>
      <c r="F497" s="85"/>
    </row>
    <row r="498" spans="1:6" x14ac:dyDescent="0.25">
      <c r="A498" s="85"/>
      <c r="B498" s="116" t="s">
        <v>925</v>
      </c>
      <c r="C498" s="126" t="s">
        <v>3538</v>
      </c>
      <c r="D498" s="127">
        <v>46263</v>
      </c>
      <c r="E498" s="85"/>
      <c r="F498" s="85"/>
    </row>
    <row r="499" spans="1:6" x14ac:dyDescent="0.25">
      <c r="A499" s="85"/>
      <c r="B499" s="116" t="s">
        <v>929</v>
      </c>
      <c r="C499" s="126" t="s">
        <v>3538</v>
      </c>
      <c r="D499" s="127">
        <v>46263</v>
      </c>
      <c r="E499" s="85"/>
      <c r="F499" s="85"/>
    </row>
    <row r="500" spans="1:6" x14ac:dyDescent="0.25">
      <c r="A500" s="85"/>
      <c r="B500" s="116" t="s">
        <v>946</v>
      </c>
      <c r="C500" s="126" t="s">
        <v>3538</v>
      </c>
      <c r="D500" s="127">
        <v>46263</v>
      </c>
      <c r="E500" s="85"/>
      <c r="F500" s="85"/>
    </row>
    <row r="501" spans="1:6" x14ac:dyDescent="0.25">
      <c r="A501" s="85"/>
      <c r="B501" s="116" t="s">
        <v>948</v>
      </c>
      <c r="C501" s="126" t="s">
        <v>3538</v>
      </c>
      <c r="D501" s="127">
        <v>46263</v>
      </c>
      <c r="E501" s="85"/>
      <c r="F501" s="85"/>
    </row>
    <row r="502" spans="1:6" x14ac:dyDescent="0.25">
      <c r="A502" s="85"/>
      <c r="B502" s="116" t="s">
        <v>952</v>
      </c>
      <c r="C502" s="126" t="s">
        <v>3538</v>
      </c>
      <c r="D502" s="127">
        <v>46263</v>
      </c>
      <c r="E502" s="85"/>
      <c r="F502" s="85"/>
    </row>
    <row r="503" spans="1:6" x14ac:dyDescent="0.25">
      <c r="A503" s="85"/>
      <c r="B503" s="116" t="s">
        <v>1031</v>
      </c>
      <c r="C503" s="126" t="s">
        <v>3538</v>
      </c>
      <c r="D503" s="127">
        <v>46263</v>
      </c>
      <c r="E503" s="85"/>
      <c r="F503" s="85"/>
    </row>
    <row r="504" spans="1:6" x14ac:dyDescent="0.25">
      <c r="A504" s="85"/>
      <c r="B504" s="116" t="s">
        <v>1034</v>
      </c>
      <c r="C504" s="126" t="s">
        <v>3538</v>
      </c>
      <c r="D504" s="127">
        <v>46263</v>
      </c>
      <c r="E504" s="85"/>
      <c r="F504" s="85"/>
    </row>
    <row r="505" spans="1:6" x14ac:dyDescent="0.25">
      <c r="A505" s="85"/>
      <c r="B505" s="116" t="s">
        <v>1040</v>
      </c>
      <c r="C505" s="126" t="s">
        <v>3538</v>
      </c>
      <c r="D505" s="127">
        <v>46263</v>
      </c>
      <c r="E505" s="85"/>
      <c r="F505" s="85"/>
    </row>
    <row r="506" spans="1:6" x14ac:dyDescent="0.25">
      <c r="A506" s="85"/>
      <c r="B506" s="116" t="s">
        <v>1044</v>
      </c>
      <c r="C506" s="126" t="s">
        <v>3538</v>
      </c>
      <c r="D506" s="127">
        <v>46263</v>
      </c>
      <c r="E506" s="85"/>
      <c r="F506" s="85"/>
    </row>
    <row r="507" spans="1:6" x14ac:dyDescent="0.25">
      <c r="A507" s="85"/>
      <c r="B507" s="116" t="s">
        <v>1442</v>
      </c>
      <c r="C507" s="126" t="s">
        <v>3538</v>
      </c>
      <c r="D507" s="127">
        <v>46263</v>
      </c>
      <c r="E507" s="85"/>
      <c r="F507" s="85">
        <v>1</v>
      </c>
    </row>
    <row r="508" spans="1:6" x14ac:dyDescent="0.25">
      <c r="A508" s="85"/>
      <c r="B508" s="116" t="s">
        <v>1445</v>
      </c>
      <c r="C508" s="126" t="s">
        <v>3538</v>
      </c>
      <c r="D508" s="127">
        <v>46263</v>
      </c>
      <c r="E508" s="85"/>
      <c r="F508" s="85">
        <v>1</v>
      </c>
    </row>
    <row r="509" spans="1:6" x14ac:dyDescent="0.25">
      <c r="A509" s="85"/>
      <c r="B509" s="116" t="s">
        <v>627</v>
      </c>
      <c r="C509" s="126" t="s">
        <v>3538</v>
      </c>
      <c r="D509" s="127">
        <v>46265</v>
      </c>
      <c r="E509" s="85"/>
      <c r="F509" s="85"/>
    </row>
    <row r="510" spans="1:6" x14ac:dyDescent="0.25">
      <c r="A510" s="85"/>
      <c r="B510" s="116" t="s">
        <v>635</v>
      </c>
      <c r="C510" s="126" t="s">
        <v>3538</v>
      </c>
      <c r="D510" s="127">
        <v>46265</v>
      </c>
      <c r="E510" s="85"/>
      <c r="F510" s="85"/>
    </row>
    <row r="511" spans="1:6" x14ac:dyDescent="0.25">
      <c r="A511" s="85"/>
      <c r="B511" s="116" t="s">
        <v>780</v>
      </c>
      <c r="C511" s="126" t="s">
        <v>3538</v>
      </c>
      <c r="D511" s="127">
        <v>46265</v>
      </c>
      <c r="E511" s="85"/>
      <c r="F511" s="85"/>
    </row>
    <row r="512" spans="1:6" x14ac:dyDescent="0.25">
      <c r="A512" s="85"/>
      <c r="B512" s="116" t="s">
        <v>946</v>
      </c>
      <c r="C512" s="126" t="s">
        <v>3538</v>
      </c>
      <c r="D512" s="127">
        <v>46265</v>
      </c>
      <c r="E512" s="85"/>
      <c r="F512" s="85"/>
    </row>
    <row r="513" spans="1:6" x14ac:dyDescent="0.25">
      <c r="A513" s="85"/>
      <c r="B513" s="116" t="s">
        <v>2043</v>
      </c>
      <c r="C513" s="126" t="s">
        <v>3538</v>
      </c>
      <c r="D513" s="127">
        <v>46267</v>
      </c>
      <c r="E513" s="85"/>
      <c r="F513" s="85"/>
    </row>
    <row r="514" spans="1:6" x14ac:dyDescent="0.25">
      <c r="A514" s="85"/>
      <c r="B514" s="116" t="s">
        <v>2045</v>
      </c>
      <c r="C514" s="126" t="s">
        <v>3538</v>
      </c>
      <c r="D514" s="127">
        <v>46267</v>
      </c>
      <c r="E514" s="85"/>
      <c r="F514" s="85"/>
    </row>
    <row r="515" spans="1:6" x14ac:dyDescent="0.25">
      <c r="A515" s="85"/>
      <c r="B515" s="116" t="s">
        <v>2047</v>
      </c>
      <c r="C515" s="126" t="s">
        <v>3538</v>
      </c>
      <c r="D515" s="127">
        <v>46267</v>
      </c>
      <c r="E515" s="85"/>
      <c r="F515" s="85"/>
    </row>
    <row r="516" spans="1:6" x14ac:dyDescent="0.25">
      <c r="A516" s="85"/>
      <c r="B516" s="116" t="s">
        <v>2049</v>
      </c>
      <c r="C516" s="126" t="s">
        <v>3538</v>
      </c>
      <c r="D516" s="127">
        <v>46267</v>
      </c>
      <c r="E516" s="85"/>
      <c r="F516" s="85"/>
    </row>
    <row r="517" spans="1:6" x14ac:dyDescent="0.25">
      <c r="A517" s="85"/>
      <c r="B517" s="116" t="s">
        <v>2053</v>
      </c>
      <c r="C517" s="126" t="s">
        <v>3538</v>
      </c>
      <c r="D517" s="127">
        <v>46267</v>
      </c>
      <c r="E517" s="85"/>
      <c r="F517" s="85"/>
    </row>
    <row r="518" spans="1:6" x14ac:dyDescent="0.25">
      <c r="A518" s="85"/>
      <c r="B518" s="116" t="s">
        <v>2055</v>
      </c>
      <c r="C518" s="126" t="s">
        <v>3538</v>
      </c>
      <c r="D518" s="127">
        <v>46267</v>
      </c>
      <c r="E518" s="85"/>
      <c r="F518" s="85"/>
    </row>
    <row r="519" spans="1:6" x14ac:dyDescent="0.25">
      <c r="A519" s="85"/>
      <c r="B519" s="116" t="s">
        <v>2057</v>
      </c>
      <c r="C519" s="126" t="s">
        <v>3538</v>
      </c>
      <c r="D519" s="127">
        <v>46267</v>
      </c>
      <c r="E519" s="85"/>
      <c r="F519" s="85"/>
    </row>
    <row r="520" spans="1:6" x14ac:dyDescent="0.25">
      <c r="A520" s="85"/>
      <c r="B520" s="116" t="s">
        <v>2059</v>
      </c>
      <c r="C520" s="126" t="s">
        <v>3538</v>
      </c>
      <c r="D520" s="127">
        <v>46267</v>
      </c>
      <c r="E520" s="85"/>
      <c r="F520" s="85"/>
    </row>
    <row r="521" spans="1:6" x14ac:dyDescent="0.25">
      <c r="A521" s="85"/>
      <c r="B521" s="130" t="s">
        <v>759</v>
      </c>
      <c r="C521" s="131" t="s">
        <v>3538</v>
      </c>
      <c r="D521" s="132">
        <v>46266</v>
      </c>
      <c r="E521" s="85"/>
      <c r="F521" s="85"/>
    </row>
    <row r="522" spans="1:6" x14ac:dyDescent="0.25">
      <c r="A522" s="85"/>
      <c r="B522" s="130" t="s">
        <v>780</v>
      </c>
      <c r="C522" s="131" t="s">
        <v>3538</v>
      </c>
      <c r="D522" s="132">
        <v>46266</v>
      </c>
      <c r="E522" s="85"/>
      <c r="F522" s="85"/>
    </row>
    <row r="523" spans="1:6" x14ac:dyDescent="0.25">
      <c r="A523" s="85"/>
      <c r="B523" s="130" t="s">
        <v>946</v>
      </c>
      <c r="C523" s="131" t="s">
        <v>3538</v>
      </c>
      <c r="D523" s="132">
        <v>46266</v>
      </c>
      <c r="E523" s="85"/>
      <c r="F523" s="85"/>
    </row>
    <row r="524" spans="1:6" x14ac:dyDescent="0.25">
      <c r="A524" s="85"/>
      <c r="B524" s="130" t="s">
        <v>952</v>
      </c>
      <c r="C524" s="131" t="s">
        <v>3538</v>
      </c>
      <c r="D524" s="132">
        <v>46266</v>
      </c>
      <c r="E524" s="85"/>
      <c r="F524" s="85"/>
    </row>
    <row r="525" spans="1:6" x14ac:dyDescent="0.25">
      <c r="A525" s="85"/>
      <c r="B525" s="130" t="s">
        <v>957</v>
      </c>
      <c r="C525" s="131" t="s">
        <v>3538</v>
      </c>
      <c r="D525" s="132">
        <v>46266</v>
      </c>
      <c r="E525" s="85"/>
      <c r="F525" s="85"/>
    </row>
    <row r="526" spans="1:6" x14ac:dyDescent="0.25">
      <c r="A526" s="85"/>
      <c r="B526" s="116" t="s">
        <v>957</v>
      </c>
      <c r="C526" s="126" t="s">
        <v>3538</v>
      </c>
      <c r="D526" s="127">
        <v>46267</v>
      </c>
      <c r="E526" s="85"/>
      <c r="F526" s="85"/>
    </row>
    <row r="527" spans="1:6" x14ac:dyDescent="0.25">
      <c r="A527" s="85"/>
      <c r="B527" s="116" t="s">
        <v>960</v>
      </c>
      <c r="C527" s="126" t="s">
        <v>3538</v>
      </c>
      <c r="D527" s="127">
        <v>46267</v>
      </c>
      <c r="E527" s="85"/>
      <c r="F527" s="85"/>
    </row>
    <row r="528" spans="1:6" x14ac:dyDescent="0.25">
      <c r="A528" s="85"/>
      <c r="B528" s="116" t="s">
        <v>654</v>
      </c>
      <c r="C528" s="126" t="s">
        <v>3538</v>
      </c>
      <c r="D528" s="127">
        <v>46267</v>
      </c>
      <c r="E528" s="85"/>
      <c r="F528" s="85"/>
    </row>
    <row r="529" spans="1:6" x14ac:dyDescent="0.25">
      <c r="A529" s="85"/>
      <c r="B529" s="116" t="s">
        <v>658</v>
      </c>
      <c r="C529" s="126" t="s">
        <v>3538</v>
      </c>
      <c r="D529" s="127">
        <v>46267</v>
      </c>
      <c r="E529" s="85"/>
      <c r="F529" s="85"/>
    </row>
    <row r="530" spans="1:6" x14ac:dyDescent="0.25">
      <c r="A530" s="85"/>
      <c r="B530" s="116" t="s">
        <v>660</v>
      </c>
      <c r="C530" s="126" t="s">
        <v>3538</v>
      </c>
      <c r="D530" s="127">
        <v>46267</v>
      </c>
      <c r="E530" s="85"/>
      <c r="F530" s="85"/>
    </row>
    <row r="531" spans="1:6" x14ac:dyDescent="0.25">
      <c r="A531" s="85"/>
      <c r="B531" s="116" t="s">
        <v>660</v>
      </c>
      <c r="C531" s="126" t="s">
        <v>3538</v>
      </c>
      <c r="D531" s="127">
        <v>46268</v>
      </c>
      <c r="E531" s="85"/>
      <c r="F531" s="85"/>
    </row>
    <row r="532" spans="1:6" x14ac:dyDescent="0.25">
      <c r="A532" s="85"/>
      <c r="B532" s="116" t="s">
        <v>676</v>
      </c>
      <c r="C532" s="126" t="s">
        <v>3538</v>
      </c>
      <c r="D532" s="127">
        <v>46268</v>
      </c>
      <c r="E532" s="85"/>
      <c r="F532" s="85"/>
    </row>
    <row r="533" spans="1:6" x14ac:dyDescent="0.25">
      <c r="A533" s="85"/>
      <c r="B533" s="116" t="s">
        <v>693</v>
      </c>
      <c r="C533" s="126" t="s">
        <v>3538</v>
      </c>
      <c r="D533" s="127">
        <v>46268</v>
      </c>
      <c r="E533" s="85"/>
      <c r="F533" s="85"/>
    </row>
    <row r="534" spans="1:6" x14ac:dyDescent="0.25">
      <c r="A534" s="85"/>
      <c r="B534" s="116" t="s">
        <v>877</v>
      </c>
      <c r="C534" s="126" t="s">
        <v>3538</v>
      </c>
      <c r="D534" s="127">
        <v>46268</v>
      </c>
      <c r="E534" s="85"/>
      <c r="F534" s="85"/>
    </row>
    <row r="535" spans="1:6" x14ac:dyDescent="0.25">
      <c r="A535" s="85"/>
      <c r="B535" s="116" t="s">
        <v>946</v>
      </c>
      <c r="C535" s="126" t="s">
        <v>3538</v>
      </c>
      <c r="D535" s="127">
        <v>46268</v>
      </c>
      <c r="E535" s="85"/>
      <c r="F535" s="85"/>
    </row>
    <row r="536" spans="1:6" x14ac:dyDescent="0.25">
      <c r="A536" s="85"/>
      <c r="B536" s="116" t="s">
        <v>948</v>
      </c>
      <c r="C536" s="126" t="s">
        <v>3538</v>
      </c>
      <c r="D536" s="127">
        <v>46268</v>
      </c>
      <c r="E536" s="85"/>
      <c r="F536" s="85"/>
    </row>
    <row r="537" spans="1:6" x14ac:dyDescent="0.25">
      <c r="A537" s="85"/>
      <c r="B537" s="116" t="s">
        <v>952</v>
      </c>
      <c r="C537" s="126" t="s">
        <v>3538</v>
      </c>
      <c r="D537" s="127">
        <v>46268</v>
      </c>
      <c r="E537" s="85"/>
      <c r="F537" s="85"/>
    </row>
    <row r="538" spans="1:6" x14ac:dyDescent="0.25">
      <c r="A538" s="85"/>
      <c r="B538" s="116" t="s">
        <v>1007</v>
      </c>
      <c r="C538" s="126" t="s">
        <v>3538</v>
      </c>
      <c r="D538" s="127">
        <v>46268</v>
      </c>
      <c r="E538" s="85"/>
      <c r="F538" s="85"/>
    </row>
    <row r="539" spans="1:6" x14ac:dyDescent="0.25">
      <c r="A539" s="85"/>
      <c r="B539" s="116" t="s">
        <v>627</v>
      </c>
      <c r="C539" s="126" t="s">
        <v>3538</v>
      </c>
      <c r="D539" s="127">
        <v>46268</v>
      </c>
      <c r="E539" s="85"/>
      <c r="F539" s="85"/>
    </row>
    <row r="540" spans="1:6" x14ac:dyDescent="0.25">
      <c r="A540" s="85"/>
      <c r="B540" s="116" t="s">
        <v>635</v>
      </c>
      <c r="C540" s="126" t="s">
        <v>3538</v>
      </c>
      <c r="D540" s="127">
        <v>46268</v>
      </c>
      <c r="E540" s="85"/>
      <c r="F540" s="85"/>
    </row>
    <row r="541" spans="1:6" x14ac:dyDescent="0.25">
      <c r="A541" s="85"/>
      <c r="B541" s="116" t="s">
        <v>649</v>
      </c>
      <c r="C541" s="126" t="s">
        <v>3538</v>
      </c>
      <c r="D541" s="127">
        <v>46268</v>
      </c>
      <c r="E541" s="85"/>
      <c r="F541" s="85"/>
    </row>
    <row r="542" spans="1:6" x14ac:dyDescent="0.25">
      <c r="A542" s="85"/>
      <c r="B542" s="116" t="s">
        <v>704</v>
      </c>
      <c r="C542" s="126" t="s">
        <v>3538</v>
      </c>
      <c r="D542" s="127">
        <v>46268</v>
      </c>
      <c r="E542" s="85"/>
      <c r="F542" s="85"/>
    </row>
    <row r="543" spans="1:6" x14ac:dyDescent="0.25">
      <c r="A543" s="85"/>
      <c r="B543" s="116" t="s">
        <v>771</v>
      </c>
      <c r="C543" s="126" t="s">
        <v>3538</v>
      </c>
      <c r="D543" s="127">
        <v>46268</v>
      </c>
      <c r="E543" s="85"/>
      <c r="F543" s="85"/>
    </row>
    <row r="544" spans="1:6" x14ac:dyDescent="0.25">
      <c r="A544" s="85"/>
      <c r="B544" s="116" t="s">
        <v>778</v>
      </c>
      <c r="C544" s="126" t="s">
        <v>3538</v>
      </c>
      <c r="D544" s="127">
        <v>46268</v>
      </c>
      <c r="E544" s="85"/>
      <c r="F544" s="85"/>
    </row>
    <row r="545" spans="1:6" x14ac:dyDescent="0.25">
      <c r="A545" s="85"/>
      <c r="B545" s="116" t="s">
        <v>786</v>
      </c>
      <c r="C545" s="126" t="s">
        <v>3538</v>
      </c>
      <c r="D545" s="127">
        <v>46268</v>
      </c>
      <c r="E545" s="85"/>
      <c r="F545" s="85"/>
    </row>
    <row r="546" spans="1:6" x14ac:dyDescent="0.25">
      <c r="A546" s="85"/>
      <c r="B546" s="116" t="s">
        <v>798</v>
      </c>
      <c r="C546" s="126" t="s">
        <v>3538</v>
      </c>
      <c r="D546" s="127">
        <v>46268</v>
      </c>
      <c r="E546" s="85"/>
      <c r="F546" s="85"/>
    </row>
    <row r="547" spans="1:6" x14ac:dyDescent="0.25">
      <c r="A547" s="85"/>
      <c r="B547" s="116" t="s">
        <v>813</v>
      </c>
      <c r="C547" s="126" t="s">
        <v>3538</v>
      </c>
      <c r="D547" s="127">
        <v>46268</v>
      </c>
      <c r="E547" s="85"/>
      <c r="F547" s="85"/>
    </row>
    <row r="548" spans="1:6" x14ac:dyDescent="0.25">
      <c r="A548" s="85"/>
      <c r="B548" s="116" t="s">
        <v>831</v>
      </c>
      <c r="C548" s="126" t="s">
        <v>3538</v>
      </c>
      <c r="D548" s="127">
        <v>46268</v>
      </c>
      <c r="E548" s="85"/>
      <c r="F548" s="85"/>
    </row>
    <row r="549" spans="1:6" x14ac:dyDescent="0.25">
      <c r="A549" s="85"/>
      <c r="B549" s="116" t="s">
        <v>834</v>
      </c>
      <c r="C549" s="126" t="s">
        <v>3538</v>
      </c>
      <c r="D549" s="127">
        <v>46268</v>
      </c>
      <c r="E549" s="85"/>
      <c r="F549" s="85"/>
    </row>
    <row r="550" spans="1:6" x14ac:dyDescent="0.25">
      <c r="A550" s="85"/>
      <c r="B550" s="116" t="s">
        <v>877</v>
      </c>
      <c r="C550" s="126" t="s">
        <v>3538</v>
      </c>
      <c r="D550" s="127">
        <v>46268</v>
      </c>
      <c r="E550" s="85"/>
      <c r="F550" s="85"/>
    </row>
    <row r="551" spans="1:6" x14ac:dyDescent="0.25">
      <c r="A551" s="85"/>
      <c r="B551" s="116" t="s">
        <v>892</v>
      </c>
      <c r="C551" s="126" t="s">
        <v>3538</v>
      </c>
      <c r="D551" s="127">
        <v>46268</v>
      </c>
      <c r="E551" s="85"/>
      <c r="F551" s="85"/>
    </row>
    <row r="552" spans="1:6" x14ac:dyDescent="0.25">
      <c r="A552" s="85"/>
      <c r="B552" s="116" t="s">
        <v>894</v>
      </c>
      <c r="C552" s="126" t="s">
        <v>3538</v>
      </c>
      <c r="D552" s="127">
        <v>46268</v>
      </c>
      <c r="E552" s="85"/>
      <c r="F552" s="85"/>
    </row>
    <row r="553" spans="1:6" x14ac:dyDescent="0.25">
      <c r="A553" s="85"/>
      <c r="B553" s="116" t="s">
        <v>915</v>
      </c>
      <c r="C553" s="126" t="s">
        <v>3538</v>
      </c>
      <c r="D553" s="127">
        <v>46268</v>
      </c>
      <c r="E553" s="85"/>
      <c r="F553" s="85"/>
    </row>
    <row r="554" spans="1:6" x14ac:dyDescent="0.25">
      <c r="A554" s="85"/>
      <c r="B554" s="116" t="s">
        <v>973</v>
      </c>
      <c r="C554" s="126" t="s">
        <v>3538</v>
      </c>
      <c r="D554" s="127">
        <v>46268</v>
      </c>
      <c r="E554" s="85"/>
      <c r="F554" s="85"/>
    </row>
    <row r="555" spans="1:6" x14ac:dyDescent="0.25">
      <c r="A555" s="85"/>
      <c r="B555" s="116" t="s">
        <v>1007</v>
      </c>
      <c r="C555" s="126" t="s">
        <v>3538</v>
      </c>
      <c r="D555" s="127">
        <v>46268</v>
      </c>
      <c r="E555" s="85"/>
      <c r="F555" s="85"/>
    </row>
    <row r="556" spans="1:6" x14ac:dyDescent="0.25">
      <c r="A556" s="85"/>
      <c r="B556" s="116" t="s">
        <v>1013</v>
      </c>
      <c r="C556" s="126" t="s">
        <v>3538</v>
      </c>
      <c r="D556" s="127">
        <v>46268</v>
      </c>
      <c r="E556" s="85"/>
      <c r="F556" s="85"/>
    </row>
    <row r="557" spans="1:6" x14ac:dyDescent="0.25">
      <c r="A557" s="85"/>
      <c r="B557" s="116" t="s">
        <v>1034</v>
      </c>
      <c r="C557" s="126" t="s">
        <v>3538</v>
      </c>
      <c r="D557" s="127">
        <v>46268</v>
      </c>
      <c r="E557" s="85"/>
      <c r="F557" s="85"/>
    </row>
    <row r="558" spans="1:6" x14ac:dyDescent="0.25">
      <c r="A558" s="85"/>
      <c r="B558" s="116" t="s">
        <v>1044</v>
      </c>
      <c r="C558" s="126" t="s">
        <v>3538</v>
      </c>
      <c r="D558" s="127">
        <v>46268</v>
      </c>
      <c r="E558" s="85"/>
      <c r="F558" s="85"/>
    </row>
    <row r="559" spans="1:6" x14ac:dyDescent="0.25">
      <c r="A559" s="85"/>
      <c r="B559" s="116" t="s">
        <v>649</v>
      </c>
      <c r="C559" s="126" t="s">
        <v>3538</v>
      </c>
      <c r="D559" s="127">
        <v>46268</v>
      </c>
      <c r="E559" s="85"/>
      <c r="F559" s="85"/>
    </row>
    <row r="560" spans="1:6" x14ac:dyDescent="0.25">
      <c r="A560" s="85"/>
      <c r="B560" s="116" t="s">
        <v>627</v>
      </c>
      <c r="C560" s="126" t="s">
        <v>3538</v>
      </c>
      <c r="D560" s="127">
        <v>46268</v>
      </c>
      <c r="E560" s="85"/>
      <c r="F560" s="85"/>
    </row>
    <row r="561" spans="1:6" x14ac:dyDescent="0.25">
      <c r="A561" s="85"/>
      <c r="B561" s="116" t="s">
        <v>676</v>
      </c>
      <c r="C561" s="126" t="s">
        <v>3538</v>
      </c>
      <c r="D561" s="127">
        <v>46268</v>
      </c>
      <c r="E561" s="85"/>
      <c r="F561" s="85"/>
    </row>
    <row r="562" spans="1:6" x14ac:dyDescent="0.25">
      <c r="A562" s="85"/>
      <c r="B562" s="116" t="s">
        <v>798</v>
      </c>
      <c r="C562" s="126" t="s">
        <v>3538</v>
      </c>
      <c r="D562" s="127">
        <v>46268</v>
      </c>
      <c r="E562" s="85"/>
      <c r="F562" s="85"/>
    </row>
    <row r="563" spans="1:6" x14ac:dyDescent="0.25">
      <c r="A563" s="85"/>
      <c r="B563" s="116" t="s">
        <v>946</v>
      </c>
      <c r="C563" s="126" t="s">
        <v>3538</v>
      </c>
      <c r="D563" s="127">
        <v>46268</v>
      </c>
      <c r="E563" s="85"/>
      <c r="F563" s="85"/>
    </row>
    <row r="564" spans="1:6" x14ac:dyDescent="0.25">
      <c r="A564" s="85"/>
      <c r="B564" s="116" t="s">
        <v>948</v>
      </c>
      <c r="C564" s="126" t="s">
        <v>3538</v>
      </c>
      <c r="D564" s="127">
        <v>46268</v>
      </c>
      <c r="E564" s="85"/>
      <c r="F564" s="85"/>
    </row>
    <row r="565" spans="1:6" x14ac:dyDescent="0.25">
      <c r="A565" s="85"/>
      <c r="B565" s="116" t="s">
        <v>627</v>
      </c>
      <c r="C565" s="126" t="s">
        <v>3538</v>
      </c>
      <c r="D565" s="127">
        <v>46269</v>
      </c>
      <c r="E565" s="85"/>
      <c r="F565" s="85"/>
    </row>
    <row r="566" spans="1:6" x14ac:dyDescent="0.25">
      <c r="A566" s="85"/>
      <c r="B566" s="116" t="s">
        <v>676</v>
      </c>
      <c r="C566" s="126" t="s">
        <v>3538</v>
      </c>
      <c r="D566" s="127">
        <v>46269</v>
      </c>
      <c r="E566" s="85"/>
      <c r="F566" s="85"/>
    </row>
    <row r="567" spans="1:6" x14ac:dyDescent="0.25">
      <c r="A567" s="85"/>
      <c r="B567" s="116" t="s">
        <v>798</v>
      </c>
      <c r="C567" s="126" t="s">
        <v>3538</v>
      </c>
      <c r="D567" s="127">
        <v>46269</v>
      </c>
      <c r="E567" s="85"/>
      <c r="F567" s="85"/>
    </row>
    <row r="568" spans="1:6" x14ac:dyDescent="0.25">
      <c r="A568" s="85"/>
      <c r="B568" s="116" t="s">
        <v>946</v>
      </c>
      <c r="C568" s="126" t="s">
        <v>3538</v>
      </c>
      <c r="D568" s="127">
        <v>46269</v>
      </c>
      <c r="E568" s="85"/>
      <c r="F568" s="85"/>
    </row>
    <row r="569" spans="1:6" x14ac:dyDescent="0.25">
      <c r="B569" s="116" t="s">
        <v>948</v>
      </c>
      <c r="C569" s="126" t="s">
        <v>3538</v>
      </c>
      <c r="D569" s="127">
        <v>46269</v>
      </c>
      <c r="E569" s="85"/>
      <c r="F569" s="85"/>
    </row>
    <row r="570" spans="1:6" x14ac:dyDescent="0.25">
      <c r="C570" s="116"/>
      <c r="D570" s="127"/>
      <c r="E570" s="85"/>
      <c r="F570" s="85"/>
    </row>
    <row r="571" spans="1:6" x14ac:dyDescent="0.25">
      <c r="B571" s="102" t="s">
        <v>627</v>
      </c>
      <c r="C571" s="126" t="s">
        <v>3538</v>
      </c>
      <c r="D571" s="127">
        <v>46274</v>
      </c>
      <c r="E571" s="85"/>
      <c r="F571" s="85"/>
    </row>
    <row r="572" spans="1:6" x14ac:dyDescent="0.25">
      <c r="B572" s="102" t="s">
        <v>649</v>
      </c>
      <c r="C572" s="126" t="s">
        <v>3538</v>
      </c>
      <c r="D572" s="127">
        <v>46274</v>
      </c>
      <c r="E572" s="85"/>
      <c r="F572" s="85"/>
    </row>
    <row r="573" spans="1:6" x14ac:dyDescent="0.25">
      <c r="B573" s="102" t="s">
        <v>946</v>
      </c>
      <c r="C573" s="126" t="s">
        <v>3538</v>
      </c>
      <c r="D573" s="127">
        <v>46274</v>
      </c>
      <c r="E573" s="85"/>
      <c r="F573" s="85"/>
    </row>
    <row r="574" spans="1:6" x14ac:dyDescent="0.25">
      <c r="B574" s="102" t="s">
        <v>960</v>
      </c>
      <c r="C574" s="126" t="s">
        <v>3538</v>
      </c>
      <c r="D574" s="127">
        <v>46274</v>
      </c>
      <c r="E574" s="85"/>
      <c r="F574" s="85"/>
    </row>
    <row r="575" spans="1:6" x14ac:dyDescent="0.25">
      <c r="B575" s="102" t="s">
        <v>2043</v>
      </c>
      <c r="C575" s="126" t="s">
        <v>3538</v>
      </c>
      <c r="D575" s="127">
        <v>46274</v>
      </c>
      <c r="E575" s="85"/>
      <c r="F575" s="85"/>
    </row>
    <row r="576" spans="1:6" x14ac:dyDescent="0.25">
      <c r="B576" s="102" t="s">
        <v>2045</v>
      </c>
      <c r="C576" s="126" t="s">
        <v>3538</v>
      </c>
      <c r="D576" s="127">
        <v>46274</v>
      </c>
      <c r="E576" s="85"/>
      <c r="F576" s="85"/>
    </row>
    <row r="577" spans="2:6" x14ac:dyDescent="0.25">
      <c r="B577" s="102" t="s">
        <v>2053</v>
      </c>
      <c r="C577" s="126" t="s">
        <v>3538</v>
      </c>
      <c r="D577" s="127">
        <v>46274</v>
      </c>
      <c r="E577" s="85"/>
      <c r="F577" s="85"/>
    </row>
    <row r="578" spans="2:6" x14ac:dyDescent="0.25">
      <c r="B578" s="102" t="s">
        <v>2055</v>
      </c>
      <c r="C578" s="126" t="s">
        <v>3538</v>
      </c>
      <c r="D578" s="127">
        <v>46274</v>
      </c>
      <c r="E578" s="85"/>
      <c r="F578" s="85"/>
    </row>
    <row r="579" spans="2:6" x14ac:dyDescent="0.25">
      <c r="B579" s="102" t="s">
        <v>627</v>
      </c>
      <c r="C579" s="126" t="s">
        <v>3538</v>
      </c>
      <c r="D579" s="127">
        <v>46276</v>
      </c>
      <c r="E579" s="85"/>
      <c r="F579" s="85"/>
    </row>
    <row r="580" spans="2:6" x14ac:dyDescent="0.25">
      <c r="B580" s="102" t="s">
        <v>946</v>
      </c>
      <c r="C580" s="126" t="s">
        <v>3538</v>
      </c>
      <c r="D580" s="127">
        <v>46276</v>
      </c>
      <c r="E580" s="85"/>
      <c r="F580" s="85"/>
    </row>
    <row r="581" spans="2:6" x14ac:dyDescent="0.25">
      <c r="B581" s="102" t="s">
        <v>960</v>
      </c>
      <c r="C581" s="126" t="s">
        <v>3538</v>
      </c>
      <c r="D581" s="127">
        <v>46276</v>
      </c>
    </row>
    <row r="582" spans="2:6" x14ac:dyDescent="0.25">
      <c r="B582" s="102" t="s">
        <v>946</v>
      </c>
      <c r="C582" s="126" t="s">
        <v>3538</v>
      </c>
      <c r="D582" s="127">
        <v>46279</v>
      </c>
    </row>
    <row r="583" spans="2:6" x14ac:dyDescent="0.25">
      <c r="B583" s="102" t="s">
        <v>960</v>
      </c>
      <c r="C583" s="126" t="s">
        <v>3538</v>
      </c>
      <c r="D583" s="127">
        <v>46279</v>
      </c>
    </row>
  </sheetData>
  <mergeCells count="5">
    <mergeCell ref="A2:A3"/>
    <mergeCell ref="B2:B3"/>
    <mergeCell ref="C2:C3"/>
    <mergeCell ref="E2:E3"/>
    <mergeCell ref="F2: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CONSOLIDADO UAT</vt:lpstr>
      <vt:lpstr>Carga masiva Bitacora</vt:lpstr>
      <vt:lpstr>CRUCE STATUS</vt:lpstr>
      <vt:lpstr>GARANTIA</vt:lpstr>
      <vt:lpstr>BLOQUEADOS</vt:lpstr>
      <vt:lpstr>REPORTE</vt:lpstr>
      <vt:lpstr>Detalle entregas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Moisés Arancibia S.</cp:lastModifiedBy>
  <dcterms:created xsi:type="dcterms:W3CDTF">2026-08-13T13:03:30Z</dcterms:created>
  <dcterms:modified xsi:type="dcterms:W3CDTF">2026-09-16T03:08:29Z</dcterms:modified>
</cp:coreProperties>
</file>